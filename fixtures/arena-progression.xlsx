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ynamic numbers" sheetId="1" r:id="rId5"/>
    <sheet state="visible" name="Arena progression" sheetId="2" r:id="rId6"/>
    <sheet state="visible" name="Arena Progress Option 2" sheetId="3" r:id="rId7"/>
    <sheet state="visible" name="Arenas" sheetId="4" r:id="rId8"/>
    <sheet state="visible" name="Rewards" sheetId="5" r:id="rId9"/>
    <sheet state="visible" name="Seasonal progression" sheetId="6" r:id="rId10"/>
  </sheets>
  <definedNames/>
  <calcPr/>
</workbook>
</file>

<file path=xl/sharedStrings.xml><?xml version="1.0" encoding="utf-8"?>
<sst xmlns="http://schemas.openxmlformats.org/spreadsheetml/2006/main" count="164" uniqueCount="95">
  <si>
    <t>Arena Name</t>
  </si>
  <si>
    <t>Arena</t>
  </si>
  <si>
    <t>ArenaID</t>
  </si>
  <si>
    <t>Lost Oasis</t>
  </si>
  <si>
    <t>arena.lostoasis</t>
  </si>
  <si>
    <t>Mystic Forest</t>
  </si>
  <si>
    <t>arena.mysticforest</t>
  </si>
  <si>
    <t>Sakura Cliffs</t>
  </si>
  <si>
    <t>arena.sakuracliffs</t>
  </si>
  <si>
    <t>min trophies</t>
  </si>
  <si>
    <t>max trophies</t>
  </si>
  <si>
    <t>Level</t>
  </si>
  <si>
    <t>Trophy Count</t>
  </si>
  <si>
    <t>WR</t>
  </si>
  <si>
    <t>Placement</t>
  </si>
  <si>
    <t>Trophie destribution</t>
  </si>
  <si>
    <t>trophie ev</t>
  </si>
  <si>
    <t>Reward</t>
  </si>
  <si>
    <t>Reward Amount</t>
  </si>
  <si>
    <t>Trophy range</t>
  </si>
  <si>
    <t>Match Duration in Minutes</t>
  </si>
  <si>
    <t>arena 1 WR (bots)</t>
  </si>
  <si>
    <t>Level Required</t>
  </si>
  <si>
    <t>1st place</t>
  </si>
  <si>
    <t>Matches Required</t>
  </si>
  <si>
    <t>arena 2+ WR</t>
  </si>
  <si>
    <t>2nd place</t>
  </si>
  <si>
    <t>3rd place</t>
  </si>
  <si>
    <t>Cumulative Matches to Reach</t>
  </si>
  <si>
    <t>Net Playtime to Reach</t>
  </si>
  <si>
    <t>4th place</t>
  </si>
  <si>
    <t>Gross Playtime to Reach</t>
  </si>
  <si>
    <t>RewardName</t>
  </si>
  <si>
    <t>RewardID</t>
  </si>
  <si>
    <t>Coins</t>
  </si>
  <si>
    <t>reward.currency.coins</t>
  </si>
  <si>
    <t>Upgrade_Cards</t>
  </si>
  <si>
    <t>reward.currency.cards</t>
  </si>
  <si>
    <t>Arena_Mystic_Forest</t>
  </si>
  <si>
    <t>reward.arena.mysticforest</t>
  </si>
  <si>
    <t>Arena_Sakura_Cliffs</t>
  </si>
  <si>
    <t>reward.arena.sakuracliffs</t>
  </si>
  <si>
    <t>games to reach</t>
  </si>
  <si>
    <t>Hero_Glint</t>
  </si>
  <si>
    <t>reward.hero.glint</t>
  </si>
  <si>
    <t>Hero_Cliff</t>
  </si>
  <si>
    <t>reward.hero.cliff</t>
  </si>
  <si>
    <t>Hero_Cinder</t>
  </si>
  <si>
    <t>reward.hero.cinder</t>
  </si>
  <si>
    <t>Hero_Tank</t>
  </si>
  <si>
    <t>reward.hero.tank</t>
  </si>
  <si>
    <t>Hero_Pedro</t>
  </si>
  <si>
    <t>reward.hero.pedro</t>
  </si>
  <si>
    <t>Hero_Flick</t>
  </si>
  <si>
    <t>reward.hero.flick</t>
  </si>
  <si>
    <t>Hero_Guy</t>
  </si>
  <si>
    <t>reward.hero.guy</t>
  </si>
  <si>
    <t>0-300</t>
  </si>
  <si>
    <t>301-600</t>
  </si>
  <si>
    <t>games to reach total</t>
  </si>
  <si>
    <t>games to reach from seasonal</t>
  </si>
  <si>
    <t>Seasonal 1</t>
  </si>
  <si>
    <t>601-1000</t>
  </si>
  <si>
    <t>1001-1300</t>
  </si>
  <si>
    <t>Seasonal 2</t>
  </si>
  <si>
    <t>1301-1600</t>
  </si>
  <si>
    <t>1601-2000</t>
  </si>
  <si>
    <t>Seasonal 3</t>
  </si>
  <si>
    <t>2001-2300</t>
  </si>
  <si>
    <t>2301-2600</t>
  </si>
  <si>
    <t>Seasonal 4</t>
  </si>
  <si>
    <t>2601-3000</t>
  </si>
  <si>
    <t>3001-3400</t>
  </si>
  <si>
    <t>3401-3800</t>
  </si>
  <si>
    <t>3801-4200</t>
  </si>
  <si>
    <t>4201-4600</t>
  </si>
  <si>
    <t>4601-5000</t>
  </si>
  <si>
    <t>5001-5500</t>
  </si>
  <si>
    <t>5501-6000</t>
  </si>
  <si>
    <t>6001-6500</t>
  </si>
  <si>
    <t>6501-7000</t>
  </si>
  <si>
    <t>7001-7500</t>
  </si>
  <si>
    <t>7501-8000</t>
  </si>
  <si>
    <t>8001-8500</t>
  </si>
  <si>
    <t>8501-9000</t>
  </si>
  <si>
    <t>9001-9500</t>
  </si>
  <si>
    <t>9501-10000</t>
  </si>
  <si>
    <t>10001-10500</t>
  </si>
  <si>
    <t>10501-11000</t>
  </si>
  <si>
    <t>11001-11500</t>
  </si>
  <si>
    <t>11501-12000</t>
  </si>
  <si>
    <t>12001-12500</t>
  </si>
  <si>
    <t>12501-13000</t>
  </si>
  <si>
    <t>13001-13500</t>
  </si>
  <si>
    <t>13501-14000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</si>
</sst>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b/>
      <u/>
      <sz val="11.0"/>
      <color rgb="FF0000FF"/>
      <name val="Rubik"/>
    </font>
    <font>
      <sz val="11.0"/>
      <color rgb="FF3A3A3A"/>
      <name val="Arial"/>
    </font>
    <font>
      <b/>
      <u/>
      <sz val="11.0"/>
      <color rgb="FF0000FF"/>
      <name val="Rubik"/>
    </font>
    <font>
      <sz val="11.0"/>
      <color rgb="FF3A3A3A"/>
      <name val="Rubik"/>
    </font>
    <font>
      <b/>
      <u/>
      <sz val="11.0"/>
      <color rgb="FF0000FF"/>
      <name val="Rubik"/>
    </font>
    <font>
      <b/>
      <sz val="11.0"/>
      <color theme="1"/>
      <name val="Rubik"/>
    </font>
    <font>
      <sz val="11.0"/>
      <color theme="1"/>
      <name val="Arial"/>
    </font>
    <font>
      <sz val="11.0"/>
      <color theme="1"/>
      <name val="Rubik"/>
    </font>
    <font/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ECECE"/>
      </left>
      <right style="thin">
        <color rgb="FFCECECE"/>
      </right>
      <top style="thin">
        <color rgb="FFCECECE"/>
      </top>
    </border>
    <border>
      <left style="thin">
        <color rgb="FFCECECE"/>
      </left>
      <right style="thin">
        <color rgb="FFCECECE"/>
      </right>
    </border>
    <border>
      <left style="thin">
        <color rgb="FF000000"/>
      </left>
      <right style="thin">
        <color rgb="FF000000"/>
      </right>
    </border>
    <border>
      <left style="thin">
        <color rgb="FFCECECE"/>
      </left>
      <right style="thin">
        <color rgb="FFCECECE"/>
      </right>
      <bottom style="thin">
        <color rgb="FFCECECE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2" fillId="2" fontId="2" numFmtId="0" xfId="0" applyAlignment="1" applyBorder="1" applyFill="1" applyFont="1">
      <alignment horizontal="center" readingOrder="0"/>
    </xf>
    <xf borderId="0" fillId="0" fontId="1" numFmtId="0" xfId="0" applyFont="1"/>
    <xf borderId="1" fillId="0" fontId="3" numFmtId="0" xfId="0" applyAlignment="1" applyBorder="1" applyFont="1">
      <alignment horizontal="center" readingOrder="0"/>
    </xf>
    <xf borderId="0" fillId="0" fontId="1" numFmtId="9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3" fillId="3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bottom"/>
    </xf>
    <xf borderId="3" fillId="3" fontId="7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 vertical="center"/>
    </xf>
    <xf borderId="1" fillId="4" fontId="5" numFmtId="0" xfId="0" applyAlignment="1" applyBorder="1" applyFill="1" applyFont="1">
      <alignment horizontal="center" readingOrder="0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0" xfId="0" applyBorder="1" applyFont="1"/>
    <xf borderId="4" fillId="4" fontId="7" numFmtId="0" xfId="0" applyAlignment="1" applyBorder="1" applyFill="1" applyFont="1">
      <alignment horizontal="center" readingOrder="0" vertical="center"/>
    </xf>
    <xf borderId="1" fillId="0" fontId="1" numFmtId="0" xfId="0" applyBorder="1" applyFont="1"/>
    <xf borderId="1" fillId="0" fontId="1" numFmtId="1" xfId="0" applyAlignment="1" applyBorder="1" applyFont="1" applyNumberFormat="1">
      <alignment horizontal="right"/>
    </xf>
    <xf borderId="4" fillId="0" fontId="10" numFmtId="0" xfId="0" applyAlignment="1" applyBorder="1" applyFont="1">
      <alignment horizontal="center" readingOrder="0" vertical="center"/>
    </xf>
    <xf borderId="1" fillId="0" fontId="1" numFmtId="1" xfId="0" applyBorder="1" applyFont="1" applyNumberFormat="1"/>
    <xf borderId="2" fillId="4" fontId="7" numFmtId="0" xfId="0" applyAlignment="1" applyBorder="1" applyFill="1" applyFont="1">
      <alignment horizontal="center" readingOrder="0"/>
    </xf>
    <xf borderId="2" fillId="0" fontId="11" numFmtId="0" xfId="0" applyAlignment="1" applyBorder="1" applyFont="1">
      <alignment horizontal="center" readingOrder="0"/>
    </xf>
    <xf borderId="5" fillId="0" fontId="12" numFmtId="0" xfId="0" applyBorder="1" applyFont="1"/>
    <xf borderId="2" fillId="4" fontId="7" numFmtId="0" xfId="0" applyAlignment="1" applyBorder="1" applyFill="1" applyFont="1">
      <alignment horizontal="center"/>
    </xf>
    <xf borderId="6" fillId="3" fontId="7" numFmtId="0" xfId="0" applyAlignment="1" applyBorder="1" applyFill="1" applyFont="1">
      <alignment horizontal="center" readingOrder="0" vertical="center"/>
    </xf>
    <xf borderId="7" fillId="0" fontId="12" numFmtId="0" xfId="0" applyBorder="1" applyFont="1"/>
    <xf borderId="2" fillId="2" fontId="9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horizontal="center" readingOrder="0" vertical="center"/>
    </xf>
    <xf borderId="8" fillId="3" fontId="7" numFmtId="0" xfId="0" applyAlignment="1" applyBorder="1" applyFill="1" applyFont="1">
      <alignment horizontal="center" readingOrder="0" vertical="center"/>
    </xf>
    <xf borderId="2" fillId="4" fontId="7" numFmtId="3" xfId="0" applyAlignment="1" applyBorder="1" applyFill="1" applyFont="1" applyNumberFormat="1">
      <alignment horizontal="center"/>
    </xf>
    <xf borderId="2" fillId="4" fontId="7" numFmtId="3" xfId="0" applyAlignment="1" applyBorder="1" applyFill="1" applyFont="1" applyNumberFormat="1">
      <alignment horizontal="center" readingOrder="0"/>
    </xf>
    <xf borderId="0" fillId="0" fontId="1" numFmtId="0" xfId="0" applyFont="1"/>
    <xf borderId="5" fillId="4" fontId="7" numFmtId="0" xfId="0" applyAlignment="1" applyBorder="1" applyFill="1" applyFont="1">
      <alignment horizontal="center" readingOrder="0"/>
    </xf>
    <xf borderId="0" fillId="4" fontId="7" numFmtId="0" xfId="0" applyAlignment="1" applyFill="1" applyFont="1">
      <alignment horizontal="center" readingOrder="0"/>
    </xf>
    <xf borderId="7" fillId="4" fontId="7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lashroyale.fandom.com/wiki/Experience" TargetMode="External"/><Relationship Id="rId2" Type="http://schemas.openxmlformats.org/officeDocument/2006/relationships/hyperlink" Target="https://clashroyale.fandom.com/wiki/Trophies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lashroyale.fandom.com/wiki/Trophie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lashroyale.fandom.com/wiki/Trophies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4" max="4" width="15.63"/>
    <col customWidth="1" min="5" max="5" width="17.13"/>
    <col customWidth="1" min="10" max="10" width="21.88"/>
  </cols>
  <sheetData>
    <row r="1">
      <c r="A1" s="4" t="s">
        <v>1</v>
      </c>
      <c r="B1" s="4" t="s">
        <v>13</v>
      </c>
      <c r="D1" s="4" t="s">
        <v>14</v>
      </c>
      <c r="E1" s="4" t="s">
        <v>15</v>
      </c>
      <c r="G1" s="4" t="s">
        <v>16</v>
      </c>
      <c r="H1" s="8">
        <f>B3*E2+B3*E3+B3*E4+B3*E5</f>
        <v>20</v>
      </c>
      <c r="J1" s="4" t="s">
        <v>20</v>
      </c>
    </row>
    <row r="2">
      <c r="A2" s="1" t="s">
        <v>21</v>
      </c>
      <c r="B2" s="10">
        <v>1.0</v>
      </c>
      <c r="D2" s="1" t="s">
        <v>23</v>
      </c>
      <c r="E2" s="1">
        <v>60.0</v>
      </c>
      <c r="J2" s="1">
        <v>0.5</v>
      </c>
    </row>
    <row r="3">
      <c r="A3" s="1" t="s">
        <v>25</v>
      </c>
      <c r="B3" s="10">
        <v>0.25</v>
      </c>
      <c r="D3" s="1" t="s">
        <v>26</v>
      </c>
      <c r="E3" s="1">
        <v>35.0</v>
      </c>
    </row>
    <row r="4">
      <c r="D4" s="1" t="s">
        <v>27</v>
      </c>
      <c r="E4" s="1">
        <v>0.0</v>
      </c>
    </row>
    <row r="5">
      <c r="D5" s="1" t="s">
        <v>30</v>
      </c>
      <c r="E5" s="1">
        <v>-15.0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7.88"/>
    <col customWidth="1" min="3" max="5" width="18.75"/>
    <col customWidth="1" min="6" max="6" width="12.88"/>
    <col customWidth="1" min="7" max="7" width="42.25"/>
    <col customWidth="1" min="8" max="8" width="14.5"/>
  </cols>
  <sheetData>
    <row r="1">
      <c r="A1" s="7" t="s">
        <v>1</v>
      </c>
      <c r="B1" s="7" t="s">
        <v>19</v>
      </c>
      <c r="C1" s="2" t="s">
        <v>9</v>
      </c>
      <c r="D1" s="2" t="s">
        <v>10</v>
      </c>
      <c r="E1" s="13" t="s">
        <v>22</v>
      </c>
      <c r="F1" s="17" t="s">
        <v>12</v>
      </c>
      <c r="G1" s="18" t="s">
        <v>17</v>
      </c>
      <c r="H1" s="18" t="s">
        <v>42</v>
      </c>
    </row>
    <row r="2">
      <c r="A2" s="23">
        <v>1.0</v>
      </c>
      <c r="B2" s="26" t="s">
        <v>57</v>
      </c>
      <c r="C2" s="23">
        <f>IFERROR(__xludf.DUMMYFUNCTION("VALUE(REGEXEXTRACT(B2,""(\d[\d,]*)-""))"),0.0)</f>
        <v>0</v>
      </c>
      <c r="D2" s="23">
        <f>IFERROR(__xludf.DUMMYFUNCTION("VALUE(REGEXEXTRACT(B2,""-(\d[\d,]*)""))"),300.0)</f>
        <v>300</v>
      </c>
      <c r="E2" s="23">
        <v>1.0</v>
      </c>
      <c r="F2" s="28">
        <v>50.0</v>
      </c>
      <c r="G2" s="29"/>
      <c r="H2" s="8">
        <f>F2/'dynamic numbers'!$E$2</f>
        <v>0.8333333333</v>
      </c>
      <c r="J2" s="8" t="str">
        <f>CONCATENATE(C2,"-",D2)</f>
        <v>0-300</v>
      </c>
    </row>
    <row r="3">
      <c r="A3" s="30"/>
      <c r="B3" s="30"/>
      <c r="C3" s="30"/>
      <c r="D3" s="30"/>
      <c r="E3" s="30"/>
      <c r="F3" s="28">
        <v>100.0</v>
      </c>
      <c r="G3" s="31"/>
      <c r="H3" s="8">
        <f>F3/'dynamic numbers'!$E$2</f>
        <v>1.666666667</v>
      </c>
    </row>
    <row r="4">
      <c r="A4" s="30"/>
      <c r="B4" s="30"/>
      <c r="C4" s="30"/>
      <c r="D4" s="30"/>
      <c r="E4" s="30"/>
      <c r="F4" s="28">
        <v>150.0</v>
      </c>
      <c r="G4" s="29"/>
      <c r="H4" s="8">
        <f>F4/'dynamic numbers'!$E$2</f>
        <v>2.5</v>
      </c>
    </row>
    <row r="5">
      <c r="A5" s="30"/>
      <c r="B5" s="30"/>
      <c r="C5" s="30"/>
      <c r="D5" s="30"/>
      <c r="E5" s="30"/>
      <c r="F5" s="28">
        <v>200.0</v>
      </c>
      <c r="G5" s="28"/>
      <c r="H5" s="8">
        <f>F5/'dynamic numbers'!$E$2</f>
        <v>3.333333333</v>
      </c>
    </row>
    <row r="6">
      <c r="A6" s="33"/>
      <c r="B6" s="33"/>
      <c r="C6" s="33"/>
      <c r="D6" s="33"/>
      <c r="E6" s="33"/>
      <c r="F6" s="28">
        <v>250.0</v>
      </c>
      <c r="G6" s="31"/>
      <c r="H6" s="8">
        <f>F6/'dynamic numbers'!$E$2</f>
        <v>4.166666667</v>
      </c>
    </row>
    <row r="7">
      <c r="A7" s="23">
        <f>1+A2</f>
        <v>2</v>
      </c>
      <c r="B7" s="26" t="s">
        <v>58</v>
      </c>
      <c r="C7" s="23">
        <f>D2+1</f>
        <v>301</v>
      </c>
      <c r="D7" s="23">
        <f>IFERROR(__xludf.DUMMYFUNCTION("VALUE(REGEXEXTRACT(B7,""-(\d[\d,]*)""))"),600.0)</f>
        <v>600</v>
      </c>
      <c r="E7" s="23">
        <v>2.0</v>
      </c>
      <c r="F7" s="28">
        <v>325.0</v>
      </c>
      <c r="G7" s="29"/>
      <c r="H7" s="8">
        <f>F7/'dynamic numbers'!$H$1</f>
        <v>16.25</v>
      </c>
    </row>
    <row r="8">
      <c r="A8" s="30"/>
      <c r="B8" s="30"/>
      <c r="C8" s="30"/>
      <c r="D8" s="30"/>
      <c r="E8" s="30"/>
      <c r="F8" s="28">
        <v>400.0</v>
      </c>
      <c r="G8" s="31"/>
      <c r="H8" s="8">
        <f>F8/'dynamic numbers'!$H$1</f>
        <v>20</v>
      </c>
    </row>
    <row r="9">
      <c r="A9" s="30"/>
      <c r="B9" s="30"/>
      <c r="C9" s="30"/>
      <c r="D9" s="30"/>
      <c r="E9" s="30"/>
      <c r="F9" s="28">
        <v>450.0</v>
      </c>
      <c r="G9" s="29"/>
      <c r="H9" s="8">
        <f>F9/'dynamic numbers'!$H$1</f>
        <v>22.5</v>
      </c>
    </row>
    <row r="10">
      <c r="A10" s="30"/>
      <c r="B10" s="30"/>
      <c r="C10" s="30"/>
      <c r="D10" s="30"/>
      <c r="E10" s="30"/>
      <c r="F10" s="28">
        <v>500.0</v>
      </c>
      <c r="G10" s="28"/>
      <c r="H10" s="8">
        <f>F10/'dynamic numbers'!$H$1</f>
        <v>25</v>
      </c>
    </row>
    <row r="11">
      <c r="A11" s="33"/>
      <c r="B11" s="33"/>
      <c r="C11" s="33"/>
      <c r="D11" s="33"/>
      <c r="E11" s="33"/>
      <c r="F11" s="28">
        <v>550.0</v>
      </c>
      <c r="G11" s="28"/>
      <c r="H11" s="8">
        <f>F11/'dynamic numbers'!$H$1</f>
        <v>27.5</v>
      </c>
    </row>
    <row r="12">
      <c r="A12" s="23">
        <f>1+A7</f>
        <v>3</v>
      </c>
      <c r="B12" s="26" t="s">
        <v>62</v>
      </c>
      <c r="C12" s="23">
        <f>D7+1</f>
        <v>601</v>
      </c>
      <c r="D12" s="23">
        <f>IFERROR(__xludf.DUMMYFUNCTION("VALUE(REGEXEXTRACT(B12,""-(\d[\d,]*)""))"),1000.0)</f>
        <v>1000</v>
      </c>
      <c r="E12" s="23">
        <v>3.0</v>
      </c>
      <c r="F12" s="28">
        <v>625.0</v>
      </c>
      <c r="G12" s="29"/>
      <c r="H12" s="8">
        <f>F12/'dynamic numbers'!$H$1</f>
        <v>31.25</v>
      </c>
    </row>
    <row r="13">
      <c r="A13" s="30"/>
      <c r="B13" s="30"/>
      <c r="C13" s="30"/>
      <c r="D13" s="30"/>
      <c r="E13" s="30"/>
      <c r="F13" s="28">
        <v>700.0</v>
      </c>
      <c r="G13" s="31"/>
      <c r="H13" s="8">
        <f>F13/'dynamic numbers'!$H$1</f>
        <v>35</v>
      </c>
    </row>
    <row r="14">
      <c r="A14" s="30"/>
      <c r="B14" s="30"/>
      <c r="C14" s="30"/>
      <c r="D14" s="30"/>
      <c r="E14" s="30"/>
      <c r="F14" s="28">
        <v>750.0</v>
      </c>
      <c r="G14" s="29"/>
      <c r="H14" s="8">
        <f>F14/'dynamic numbers'!$H$1</f>
        <v>37.5</v>
      </c>
    </row>
    <row r="15">
      <c r="A15" s="30"/>
      <c r="B15" s="30"/>
      <c r="C15" s="30"/>
      <c r="D15" s="30"/>
      <c r="E15" s="30"/>
      <c r="F15" s="28">
        <v>800.0</v>
      </c>
      <c r="G15" s="28"/>
      <c r="H15" s="8">
        <f>F15/'dynamic numbers'!$H$1</f>
        <v>40</v>
      </c>
    </row>
    <row r="16">
      <c r="A16" s="30"/>
      <c r="B16" s="30"/>
      <c r="C16" s="30"/>
      <c r="D16" s="30"/>
      <c r="E16" s="30"/>
      <c r="F16" s="28">
        <v>850.0</v>
      </c>
      <c r="G16" s="31"/>
      <c r="H16" s="8">
        <f>F16/'dynamic numbers'!$H$1</f>
        <v>42.5</v>
      </c>
    </row>
    <row r="17">
      <c r="A17" s="30"/>
      <c r="B17" s="30"/>
      <c r="C17" s="30"/>
      <c r="D17" s="30"/>
      <c r="E17" s="30"/>
      <c r="F17" s="28">
        <v>900.0</v>
      </c>
      <c r="G17" s="28"/>
      <c r="H17" s="8">
        <f>F17/'dynamic numbers'!$H$1</f>
        <v>45</v>
      </c>
    </row>
    <row r="18">
      <c r="A18" s="33"/>
      <c r="B18" s="33"/>
      <c r="C18" s="33"/>
      <c r="D18" s="33"/>
      <c r="E18" s="33"/>
      <c r="F18" s="28">
        <v>950.0</v>
      </c>
      <c r="G18" s="31"/>
      <c r="H18" s="8">
        <f>F18/'dynamic numbers'!$H$1</f>
        <v>47.5</v>
      </c>
    </row>
    <row r="19">
      <c r="A19" s="23">
        <f>A12+1</f>
        <v>4</v>
      </c>
      <c r="B19" s="26" t="s">
        <v>63</v>
      </c>
      <c r="C19" s="23">
        <f>D12+1</f>
        <v>1001</v>
      </c>
      <c r="D19" s="23">
        <f>IFERROR(__xludf.DUMMYFUNCTION("VALUE(REGEXEXTRACT(B19,""-(\d[\d,]*)""))"),1300.0)</f>
        <v>1300</v>
      </c>
      <c r="E19" s="23">
        <v>4.0</v>
      </c>
      <c r="F19" s="38">
        <v>1025.0</v>
      </c>
      <c r="G19" s="28"/>
      <c r="H19" s="8">
        <f>F19/'dynamic numbers'!$H$1</f>
        <v>51.25</v>
      </c>
    </row>
    <row r="20">
      <c r="A20" s="30"/>
      <c r="B20" s="30"/>
      <c r="C20" s="30"/>
      <c r="D20" s="30"/>
      <c r="E20" s="30"/>
      <c r="F20" s="38">
        <v>1100.0</v>
      </c>
      <c r="G20" s="31"/>
      <c r="H20" s="8">
        <f>F20/'dynamic numbers'!$H$1</f>
        <v>55</v>
      </c>
    </row>
    <row r="21">
      <c r="A21" s="30"/>
      <c r="B21" s="30"/>
      <c r="C21" s="30"/>
      <c r="D21" s="30"/>
      <c r="E21" s="30"/>
      <c r="F21" s="38">
        <v>1150.0</v>
      </c>
      <c r="G21" s="29"/>
      <c r="H21" s="8">
        <f>F21/'dynamic numbers'!$H$1</f>
        <v>57.5</v>
      </c>
    </row>
    <row r="22">
      <c r="A22" s="30"/>
      <c r="B22" s="30"/>
      <c r="C22" s="30"/>
      <c r="D22" s="30"/>
      <c r="E22" s="30"/>
      <c r="F22" s="38">
        <v>1200.0</v>
      </c>
      <c r="G22" s="28"/>
      <c r="H22" s="8">
        <f>F22/'dynamic numbers'!$H$1</f>
        <v>60</v>
      </c>
    </row>
    <row r="23">
      <c r="A23" s="33"/>
      <c r="B23" s="33"/>
      <c r="C23" s="33"/>
      <c r="D23" s="33"/>
      <c r="E23" s="33"/>
      <c r="F23" s="38">
        <v>1250.0</v>
      </c>
      <c r="G23" s="29"/>
      <c r="H23" s="8">
        <f>F23/'dynamic numbers'!$H$1</f>
        <v>62.5</v>
      </c>
    </row>
    <row r="24">
      <c r="A24" s="23">
        <f>1+A19</f>
        <v>5</v>
      </c>
      <c r="B24" s="26" t="s">
        <v>65</v>
      </c>
      <c r="C24" s="23">
        <f>D19+1</f>
        <v>1301</v>
      </c>
      <c r="D24" s="23">
        <f>IFERROR(__xludf.DUMMYFUNCTION("VALUE(REGEXEXTRACT(B24,""-(\d[\d,]*)""))"),1600.0)</f>
        <v>1600</v>
      </c>
      <c r="E24" s="23">
        <v>5.0</v>
      </c>
      <c r="F24" s="38">
        <v>1325.0</v>
      </c>
      <c r="G24" s="29"/>
      <c r="H24" s="8">
        <f>F24/'dynamic numbers'!$H$1</f>
        <v>66.25</v>
      </c>
    </row>
    <row r="25">
      <c r="A25" s="30"/>
      <c r="B25" s="30"/>
      <c r="C25" s="30"/>
      <c r="D25" s="30"/>
      <c r="E25" s="30"/>
      <c r="F25" s="38">
        <v>1400.0</v>
      </c>
      <c r="G25" s="31"/>
      <c r="H25" s="8">
        <f>F25/'dynamic numbers'!$H$1</f>
        <v>70</v>
      </c>
    </row>
    <row r="26">
      <c r="A26" s="30"/>
      <c r="B26" s="30"/>
      <c r="C26" s="30"/>
      <c r="D26" s="30"/>
      <c r="E26" s="30"/>
      <c r="F26" s="38">
        <v>1450.0</v>
      </c>
      <c r="G26" s="28"/>
      <c r="H26" s="8">
        <f>F26/'dynamic numbers'!$H$1</f>
        <v>72.5</v>
      </c>
    </row>
    <row r="27">
      <c r="A27" s="30"/>
      <c r="B27" s="30"/>
      <c r="C27" s="30"/>
      <c r="D27" s="30"/>
      <c r="E27" s="30"/>
      <c r="F27" s="38">
        <v>1500.0</v>
      </c>
      <c r="G27" s="28"/>
      <c r="H27" s="8">
        <f>F27/'dynamic numbers'!$H$1</f>
        <v>75</v>
      </c>
    </row>
    <row r="28">
      <c r="A28" s="33"/>
      <c r="B28" s="33"/>
      <c r="C28" s="33"/>
      <c r="D28" s="33"/>
      <c r="E28" s="33"/>
      <c r="F28" s="38">
        <v>1550.0</v>
      </c>
      <c r="G28" s="29"/>
      <c r="H28" s="8">
        <f>F28/'dynamic numbers'!$H$1</f>
        <v>77.5</v>
      </c>
    </row>
    <row r="29">
      <c r="A29" s="23">
        <f>1+A24</f>
        <v>6</v>
      </c>
      <c r="B29" s="26" t="s">
        <v>66</v>
      </c>
      <c r="C29" s="23">
        <f>D24+1</f>
        <v>1601</v>
      </c>
      <c r="D29" s="23">
        <f>IFERROR(__xludf.DUMMYFUNCTION("VALUE(REGEXEXTRACT(B29,""-(\d[\d,]*)""))"),2000.0)</f>
        <v>2000</v>
      </c>
      <c r="E29" s="23">
        <v>6.0</v>
      </c>
      <c r="F29" s="38">
        <v>1625.0</v>
      </c>
      <c r="G29" s="28"/>
      <c r="H29" s="8">
        <f>F29/'dynamic numbers'!$H$1</f>
        <v>81.25</v>
      </c>
    </row>
    <row r="30">
      <c r="A30" s="30"/>
      <c r="B30" s="30"/>
      <c r="C30" s="30"/>
      <c r="D30" s="30"/>
      <c r="E30" s="30"/>
      <c r="F30" s="38">
        <v>1700.0</v>
      </c>
      <c r="G30" s="28"/>
      <c r="H30" s="8">
        <f>F30/'dynamic numbers'!$H$1</f>
        <v>85</v>
      </c>
    </row>
    <row r="31">
      <c r="A31" s="30"/>
      <c r="B31" s="30"/>
      <c r="C31" s="30"/>
      <c r="D31" s="30"/>
      <c r="E31" s="30"/>
      <c r="F31" s="38">
        <v>1750.0</v>
      </c>
      <c r="G31" s="29"/>
      <c r="H31" s="8">
        <f>F31/'dynamic numbers'!$H$1</f>
        <v>87.5</v>
      </c>
    </row>
    <row r="32">
      <c r="A32" s="30"/>
      <c r="B32" s="30"/>
      <c r="C32" s="30"/>
      <c r="D32" s="30"/>
      <c r="E32" s="30"/>
      <c r="F32" s="38">
        <v>1800.0</v>
      </c>
      <c r="G32" s="31"/>
      <c r="H32" s="8">
        <f>F32/'dynamic numbers'!$H$1</f>
        <v>90</v>
      </c>
    </row>
    <row r="33">
      <c r="A33" s="30"/>
      <c r="B33" s="30"/>
      <c r="C33" s="30"/>
      <c r="D33" s="30"/>
      <c r="E33" s="30"/>
      <c r="F33" s="38">
        <v>1850.0</v>
      </c>
      <c r="G33" s="29"/>
      <c r="H33" s="8">
        <f>F33/'dynamic numbers'!$H$1</f>
        <v>92.5</v>
      </c>
    </row>
    <row r="34">
      <c r="A34" s="30"/>
      <c r="B34" s="30"/>
      <c r="C34" s="30"/>
      <c r="D34" s="30"/>
      <c r="E34" s="30"/>
      <c r="F34" s="38">
        <v>1900.0</v>
      </c>
      <c r="G34" s="28"/>
      <c r="H34" s="8">
        <f>F34/'dynamic numbers'!$H$1</f>
        <v>95</v>
      </c>
    </row>
    <row r="35">
      <c r="A35" s="33"/>
      <c r="B35" s="33"/>
      <c r="C35" s="33"/>
      <c r="D35" s="33"/>
      <c r="E35" s="33"/>
      <c r="F35" s="38">
        <v>1950.0</v>
      </c>
      <c r="G35" s="31"/>
      <c r="H35" s="8">
        <f>F35/'dynamic numbers'!$H$1</f>
        <v>97.5</v>
      </c>
    </row>
    <row r="36">
      <c r="A36" s="35">
        <v>7.0</v>
      </c>
      <c r="B36" s="26" t="s">
        <v>68</v>
      </c>
      <c r="C36" s="23">
        <f>D29+1</f>
        <v>2001</v>
      </c>
      <c r="D36" s="23">
        <f>IFERROR(__xludf.DUMMYFUNCTION("VALUE(REGEXEXTRACT(B36,""-(\d[\d,]*)""))"),2300.0)</f>
        <v>2300</v>
      </c>
      <c r="E36" s="23">
        <v>8.0</v>
      </c>
      <c r="F36" s="38">
        <v>2025.0</v>
      </c>
      <c r="G36" s="29"/>
      <c r="H36" s="8">
        <f>F36/'dynamic numbers'!$H$1</f>
        <v>101.25</v>
      </c>
    </row>
    <row r="37">
      <c r="A37" s="30"/>
      <c r="B37" s="30"/>
      <c r="C37" s="30"/>
      <c r="D37" s="30"/>
      <c r="E37" s="30"/>
      <c r="F37" s="38">
        <v>2100.0</v>
      </c>
      <c r="G37" s="28"/>
      <c r="H37" s="8">
        <f>F37/'dynamic numbers'!$H$1</f>
        <v>105</v>
      </c>
    </row>
    <row r="38">
      <c r="A38" s="30"/>
      <c r="B38" s="30"/>
      <c r="C38" s="30"/>
      <c r="D38" s="30"/>
      <c r="E38" s="30"/>
      <c r="F38" s="38">
        <v>2150.0</v>
      </c>
      <c r="G38" s="29"/>
      <c r="H38" s="8">
        <f>F38/'dynamic numbers'!$H$1</f>
        <v>107.5</v>
      </c>
    </row>
    <row r="39">
      <c r="A39" s="30"/>
      <c r="B39" s="30"/>
      <c r="C39" s="30"/>
      <c r="D39" s="30"/>
      <c r="E39" s="30"/>
      <c r="F39" s="38">
        <v>2200.0</v>
      </c>
      <c r="G39" s="28"/>
      <c r="H39" s="8">
        <f>F39/'dynamic numbers'!$H$1</f>
        <v>110</v>
      </c>
    </row>
    <row r="40">
      <c r="A40" s="33"/>
      <c r="B40" s="33"/>
      <c r="C40" s="33"/>
      <c r="D40" s="33"/>
      <c r="E40" s="33"/>
      <c r="F40" s="38">
        <v>2250.0</v>
      </c>
      <c r="G40" s="29"/>
      <c r="H40" s="8">
        <f>F40/'dynamic numbers'!$H$1</f>
        <v>112.5</v>
      </c>
    </row>
    <row r="41">
      <c r="A41" s="23">
        <f>1+A36</f>
        <v>8</v>
      </c>
      <c r="B41" s="26" t="s">
        <v>69</v>
      </c>
      <c r="C41" s="23">
        <f>D36+1</f>
        <v>2301</v>
      </c>
      <c r="D41" s="23">
        <f>IFERROR(__xludf.DUMMYFUNCTION("VALUE(REGEXEXTRACT(B41,""-(\d[\d,]*)""))"),2600.0)</f>
        <v>2600</v>
      </c>
      <c r="E41" s="23">
        <v>10.0</v>
      </c>
      <c r="F41" s="38">
        <v>2325.0</v>
      </c>
      <c r="G41" s="29"/>
      <c r="H41" s="8">
        <f>F41/'dynamic numbers'!$H$1</f>
        <v>116.25</v>
      </c>
    </row>
    <row r="42">
      <c r="A42" s="30"/>
      <c r="B42" s="30"/>
      <c r="C42" s="30"/>
      <c r="D42" s="30"/>
      <c r="E42" s="30"/>
      <c r="F42" s="38">
        <v>2400.0</v>
      </c>
      <c r="G42" s="31"/>
      <c r="H42" s="8">
        <f>F42/'dynamic numbers'!$H$1</f>
        <v>120</v>
      </c>
    </row>
    <row r="43">
      <c r="A43" s="30"/>
      <c r="B43" s="30"/>
      <c r="C43" s="30"/>
      <c r="D43" s="30"/>
      <c r="E43" s="30"/>
      <c r="F43" s="38">
        <v>2450.0</v>
      </c>
      <c r="G43" s="28"/>
      <c r="H43" s="8">
        <f>F43/'dynamic numbers'!$H$1</f>
        <v>122.5</v>
      </c>
    </row>
    <row r="44">
      <c r="A44" s="30"/>
      <c r="B44" s="30"/>
      <c r="C44" s="30"/>
      <c r="D44" s="30"/>
      <c r="E44" s="30"/>
      <c r="F44" s="38">
        <v>2500.0</v>
      </c>
      <c r="G44" s="28"/>
      <c r="H44" s="8">
        <f>F44/'dynamic numbers'!$H$1</f>
        <v>125</v>
      </c>
    </row>
    <row r="45">
      <c r="A45" s="33"/>
      <c r="B45" s="33"/>
      <c r="C45" s="33"/>
      <c r="D45" s="33"/>
      <c r="E45" s="33"/>
      <c r="F45" s="38">
        <v>2550.0</v>
      </c>
      <c r="G45" s="29"/>
      <c r="H45" s="8">
        <f>F45/'dynamic numbers'!$H$1</f>
        <v>127.5</v>
      </c>
    </row>
    <row r="46">
      <c r="A46" s="23">
        <f>1+A41</f>
        <v>9</v>
      </c>
      <c r="B46" s="26" t="s">
        <v>71</v>
      </c>
      <c r="C46" s="23">
        <f>D41+1</f>
        <v>2601</v>
      </c>
      <c r="D46" s="23">
        <f>IFERROR(__xludf.DUMMYFUNCTION("VALUE(REGEXEXTRACT(B46,""-(\d[\d,]*)""))"),3000.0)</f>
        <v>3000</v>
      </c>
      <c r="E46" s="23">
        <v>12.0</v>
      </c>
      <c r="F46" s="38">
        <v>2625.0</v>
      </c>
      <c r="G46" s="28"/>
      <c r="H46" s="8">
        <f>F46/'dynamic numbers'!$H$1</f>
        <v>131.25</v>
      </c>
    </row>
    <row r="47">
      <c r="A47" s="30"/>
      <c r="B47" s="30"/>
      <c r="C47" s="30"/>
      <c r="D47" s="30"/>
      <c r="E47" s="30"/>
      <c r="F47" s="38">
        <v>2700.0</v>
      </c>
      <c r="G47" s="31"/>
      <c r="H47" s="8">
        <f>F47/'dynamic numbers'!$H$1</f>
        <v>135</v>
      </c>
    </row>
    <row r="48">
      <c r="A48" s="30"/>
      <c r="B48" s="30"/>
      <c r="C48" s="30"/>
      <c r="D48" s="30"/>
      <c r="E48" s="30"/>
      <c r="F48" s="38">
        <v>2750.0</v>
      </c>
      <c r="G48" s="29"/>
      <c r="H48" s="8">
        <f>F48/'dynamic numbers'!$H$1</f>
        <v>137.5</v>
      </c>
    </row>
    <row r="49">
      <c r="A49" s="30"/>
      <c r="B49" s="30"/>
      <c r="C49" s="30"/>
      <c r="D49" s="30"/>
      <c r="E49" s="30"/>
      <c r="F49" s="38">
        <v>2800.0</v>
      </c>
      <c r="G49" s="28"/>
      <c r="H49" s="8">
        <f>F49/'dynamic numbers'!$H$1</f>
        <v>140</v>
      </c>
    </row>
    <row r="50">
      <c r="A50" s="30"/>
      <c r="B50" s="30"/>
      <c r="C50" s="30"/>
      <c r="D50" s="30"/>
      <c r="E50" s="30"/>
      <c r="F50" s="38">
        <v>2850.0</v>
      </c>
      <c r="G50" s="29"/>
      <c r="H50" s="8">
        <f>F50/'dynamic numbers'!$H$1</f>
        <v>142.5</v>
      </c>
    </row>
    <row r="51">
      <c r="A51" s="30"/>
      <c r="B51" s="30"/>
      <c r="C51" s="30"/>
      <c r="D51" s="30"/>
      <c r="E51" s="30"/>
      <c r="F51" s="38">
        <v>2900.0</v>
      </c>
      <c r="G51" s="28"/>
      <c r="H51" s="8">
        <f>F51/'dynamic numbers'!$H$1</f>
        <v>145</v>
      </c>
    </row>
    <row r="52">
      <c r="A52" s="33"/>
      <c r="B52" s="33"/>
      <c r="C52" s="33"/>
      <c r="D52" s="33"/>
      <c r="E52" s="33"/>
      <c r="F52" s="38">
        <v>2950.0</v>
      </c>
      <c r="G52" s="29"/>
      <c r="H52" s="8">
        <f>F52/'dynamic numbers'!$H$1</f>
        <v>147.5</v>
      </c>
    </row>
    <row r="53">
      <c r="A53" s="23">
        <f>1+A46</f>
        <v>10</v>
      </c>
      <c r="B53" s="26" t="s">
        <v>72</v>
      </c>
      <c r="C53" s="23">
        <f>D46+1</f>
        <v>3001</v>
      </c>
      <c r="D53" s="23">
        <f>IFERROR(__xludf.DUMMYFUNCTION("VALUE(REGEXEXTRACT(B53,""-(\d[\d,]*)""))"),3400.0)</f>
        <v>3400</v>
      </c>
      <c r="E53" s="23">
        <v>14.0</v>
      </c>
      <c r="F53" s="38">
        <v>3025.0</v>
      </c>
      <c r="G53" s="29"/>
      <c r="H53" s="8">
        <f>F53/'dynamic numbers'!$H$1</f>
        <v>151.25</v>
      </c>
    </row>
    <row r="54">
      <c r="A54" s="30"/>
      <c r="B54" s="30"/>
      <c r="C54" s="30"/>
      <c r="D54" s="30"/>
      <c r="E54" s="30"/>
      <c r="F54" s="38">
        <v>3100.0</v>
      </c>
      <c r="G54" s="31"/>
      <c r="H54" s="8">
        <f>F54/'dynamic numbers'!$H$1</f>
        <v>155</v>
      </c>
    </row>
    <row r="55">
      <c r="A55" s="30"/>
      <c r="B55" s="30"/>
      <c r="C55" s="30"/>
      <c r="D55" s="30"/>
      <c r="E55" s="30"/>
      <c r="F55" s="38">
        <v>3150.0</v>
      </c>
      <c r="G55" s="28"/>
      <c r="H55" s="8">
        <f>F55/'dynamic numbers'!$H$1</f>
        <v>157.5</v>
      </c>
    </row>
    <row r="56">
      <c r="A56" s="30"/>
      <c r="B56" s="30"/>
      <c r="C56" s="30"/>
      <c r="D56" s="30"/>
      <c r="E56" s="30"/>
      <c r="F56" s="38">
        <v>3200.0</v>
      </c>
      <c r="G56" s="28"/>
      <c r="H56" s="8">
        <f>F56/'dynamic numbers'!$H$1</f>
        <v>160</v>
      </c>
    </row>
    <row r="57">
      <c r="A57" s="30"/>
      <c r="B57" s="30"/>
      <c r="C57" s="30"/>
      <c r="D57" s="30"/>
      <c r="E57" s="30"/>
      <c r="F57" s="38">
        <v>3250.0</v>
      </c>
      <c r="G57" s="29"/>
      <c r="H57" s="8">
        <f>F57/'dynamic numbers'!$H$1</f>
        <v>162.5</v>
      </c>
    </row>
    <row r="58">
      <c r="A58" s="30"/>
      <c r="B58" s="30"/>
      <c r="C58" s="30"/>
      <c r="D58" s="30"/>
      <c r="E58" s="30"/>
      <c r="F58" s="38">
        <v>3300.0</v>
      </c>
      <c r="G58" s="28"/>
      <c r="H58" s="8">
        <f>F58/'dynamic numbers'!$H$1</f>
        <v>165</v>
      </c>
    </row>
    <row r="59">
      <c r="A59" s="33"/>
      <c r="B59" s="33"/>
      <c r="C59" s="33"/>
      <c r="D59" s="33"/>
      <c r="E59" s="33"/>
      <c r="F59" s="38">
        <v>3350.0</v>
      </c>
      <c r="G59" s="28"/>
      <c r="H59" s="8">
        <f>F59/'dynamic numbers'!$H$1</f>
        <v>167.5</v>
      </c>
    </row>
    <row r="60">
      <c r="A60" s="23">
        <f>1+A53</f>
        <v>11</v>
      </c>
      <c r="B60" s="26" t="s">
        <v>73</v>
      </c>
      <c r="C60" s="23">
        <f>D53+1</f>
        <v>3401</v>
      </c>
      <c r="D60" s="23">
        <f>IFERROR(__xludf.DUMMYFUNCTION("VALUE(REGEXEXTRACT(B60,""-(\d[\d,]*)""))"),3800.0)</f>
        <v>3800</v>
      </c>
      <c r="E60" s="23">
        <v>16.0</v>
      </c>
      <c r="F60" s="38">
        <v>3425.0</v>
      </c>
      <c r="G60" s="28"/>
      <c r="H60" s="8">
        <f>F60/'dynamic numbers'!$H$1</f>
        <v>171.25</v>
      </c>
    </row>
    <row r="61">
      <c r="A61" s="30"/>
      <c r="B61" s="30"/>
      <c r="C61" s="30"/>
      <c r="D61" s="30"/>
      <c r="E61" s="30"/>
      <c r="F61" s="38">
        <v>3500.0</v>
      </c>
      <c r="G61" s="31"/>
      <c r="H61" s="8">
        <f>F61/'dynamic numbers'!$H$1</f>
        <v>175</v>
      </c>
    </row>
    <row r="62">
      <c r="A62" s="30"/>
      <c r="B62" s="30"/>
      <c r="C62" s="30"/>
      <c r="D62" s="30"/>
      <c r="E62" s="30"/>
      <c r="F62" s="38">
        <v>3550.0</v>
      </c>
      <c r="G62" s="31"/>
      <c r="H62" s="8">
        <f>F62/'dynamic numbers'!$H$1</f>
        <v>177.5</v>
      </c>
    </row>
    <row r="63">
      <c r="A63" s="30"/>
      <c r="B63" s="30"/>
      <c r="C63" s="30"/>
      <c r="D63" s="30"/>
      <c r="E63" s="30"/>
      <c r="F63" s="38">
        <v>3600.0</v>
      </c>
      <c r="G63" s="28"/>
      <c r="H63" s="8">
        <f>F63/'dynamic numbers'!$H$1</f>
        <v>180</v>
      </c>
    </row>
    <row r="64">
      <c r="A64" s="30"/>
      <c r="B64" s="30"/>
      <c r="C64" s="30"/>
      <c r="D64" s="30"/>
      <c r="E64" s="30"/>
      <c r="F64" s="38">
        <v>3650.0</v>
      </c>
      <c r="G64" s="31"/>
      <c r="H64" s="8">
        <f>F64/'dynamic numbers'!$H$1</f>
        <v>182.5</v>
      </c>
    </row>
    <row r="65">
      <c r="A65" s="30"/>
      <c r="B65" s="30"/>
      <c r="C65" s="30"/>
      <c r="D65" s="30"/>
      <c r="E65" s="30"/>
      <c r="F65" s="38">
        <v>3700.0</v>
      </c>
      <c r="G65" s="28"/>
      <c r="H65" s="8">
        <f>F65/'dynamic numbers'!$H$1</f>
        <v>185</v>
      </c>
    </row>
    <row r="66">
      <c r="A66" s="33"/>
      <c r="B66" s="33"/>
      <c r="C66" s="33"/>
      <c r="D66" s="33"/>
      <c r="E66" s="33"/>
      <c r="F66" s="38">
        <v>3750.0</v>
      </c>
      <c r="G66" s="31"/>
      <c r="H66" s="8">
        <f>F66/'dynamic numbers'!$H$1</f>
        <v>187.5</v>
      </c>
    </row>
    <row r="67">
      <c r="A67" s="23">
        <f>1+A60</f>
        <v>12</v>
      </c>
      <c r="B67" s="26" t="s">
        <v>74</v>
      </c>
      <c r="C67" s="23">
        <f>D60+1</f>
        <v>3801</v>
      </c>
      <c r="D67" s="23">
        <f>IFERROR(__xludf.DUMMYFUNCTION("VALUE(REGEXEXTRACT(B67,""-(\d[\d,]*)""))"),4200.0)</f>
        <v>4200</v>
      </c>
      <c r="E67" s="23">
        <v>18.0</v>
      </c>
      <c r="F67" s="38">
        <v>3825.0</v>
      </c>
      <c r="G67" s="28"/>
      <c r="H67" s="8">
        <f>F67/'dynamic numbers'!$H$1</f>
        <v>191.25</v>
      </c>
    </row>
    <row r="68">
      <c r="A68" s="30"/>
      <c r="B68" s="30"/>
      <c r="C68" s="30"/>
      <c r="D68" s="30"/>
      <c r="E68" s="30"/>
      <c r="F68" s="38">
        <v>3900.0</v>
      </c>
      <c r="G68" s="28"/>
      <c r="H68" s="8">
        <f>F68/'dynamic numbers'!$H$1</f>
        <v>195</v>
      </c>
    </row>
    <row r="69">
      <c r="A69" s="30"/>
      <c r="B69" s="30"/>
      <c r="C69" s="30"/>
      <c r="D69" s="30"/>
      <c r="E69" s="30"/>
      <c r="F69" s="38">
        <v>3950.0</v>
      </c>
      <c r="G69" s="29"/>
      <c r="H69" s="8">
        <f>F69/'dynamic numbers'!$H$1</f>
        <v>197.5</v>
      </c>
    </row>
    <row r="70">
      <c r="A70" s="30"/>
      <c r="B70" s="30"/>
      <c r="C70" s="30"/>
      <c r="D70" s="30"/>
      <c r="E70" s="30"/>
      <c r="F70" s="38">
        <v>4000.0</v>
      </c>
      <c r="G70" s="28"/>
      <c r="H70" s="8">
        <f>F70/'dynamic numbers'!$H$1</f>
        <v>200</v>
      </c>
    </row>
    <row r="71">
      <c r="A71" s="30"/>
      <c r="B71" s="30"/>
      <c r="C71" s="30"/>
      <c r="D71" s="30"/>
      <c r="E71" s="30"/>
      <c r="F71" s="38">
        <v>4050.0</v>
      </c>
      <c r="G71" s="28"/>
      <c r="H71" s="8">
        <f>F71/'dynamic numbers'!$H$1</f>
        <v>202.5</v>
      </c>
    </row>
    <row r="72">
      <c r="A72" s="30"/>
      <c r="B72" s="30"/>
      <c r="C72" s="30"/>
      <c r="D72" s="30"/>
      <c r="E72" s="30"/>
      <c r="F72" s="38">
        <v>4100.0</v>
      </c>
      <c r="G72" s="28"/>
      <c r="H72" s="8">
        <f>F72/'dynamic numbers'!$H$1</f>
        <v>205</v>
      </c>
    </row>
    <row r="73">
      <c r="A73" s="33"/>
      <c r="B73" s="33"/>
      <c r="C73" s="33"/>
      <c r="D73" s="33"/>
      <c r="E73" s="33"/>
      <c r="F73" s="38">
        <v>4150.0</v>
      </c>
      <c r="G73" s="31"/>
      <c r="H73" s="8">
        <f>F73/'dynamic numbers'!$H$1</f>
        <v>207.5</v>
      </c>
    </row>
    <row r="74">
      <c r="A74" s="23">
        <f>1+A67</f>
        <v>13</v>
      </c>
      <c r="B74" s="26" t="s">
        <v>75</v>
      </c>
      <c r="C74" s="23">
        <f>D67+1</f>
        <v>4201</v>
      </c>
      <c r="D74" s="23">
        <f>IFERROR(__xludf.DUMMYFUNCTION("VALUE(REGEXEXTRACT(B74,""-(\d[\d,]*)""))"),4600.0)</f>
        <v>4600</v>
      </c>
      <c r="E74" s="23">
        <v>20.0</v>
      </c>
      <c r="F74" s="38">
        <v>4225.0</v>
      </c>
      <c r="G74" s="29"/>
      <c r="H74" s="8">
        <f>F74/'dynamic numbers'!$H$1</f>
        <v>211.25</v>
      </c>
    </row>
    <row r="75">
      <c r="A75" s="30"/>
      <c r="B75" s="30"/>
      <c r="C75" s="30"/>
      <c r="D75" s="30"/>
      <c r="E75" s="30"/>
      <c r="F75" s="38">
        <v>4300.0</v>
      </c>
      <c r="G75" s="31"/>
      <c r="H75" s="8">
        <f>F75/'dynamic numbers'!$H$1</f>
        <v>215</v>
      </c>
    </row>
    <row r="76">
      <c r="A76" s="30"/>
      <c r="B76" s="30"/>
      <c r="C76" s="30"/>
      <c r="D76" s="30"/>
      <c r="E76" s="30"/>
      <c r="F76" s="38">
        <v>4350.0</v>
      </c>
      <c r="G76" s="28"/>
      <c r="H76" s="8">
        <f>F76/'dynamic numbers'!$H$1</f>
        <v>217.5</v>
      </c>
    </row>
    <row r="77">
      <c r="A77" s="30"/>
      <c r="B77" s="30"/>
      <c r="C77" s="30"/>
      <c r="D77" s="30"/>
      <c r="E77" s="30"/>
      <c r="F77" s="38">
        <v>4400.0</v>
      </c>
      <c r="G77" s="29"/>
      <c r="H77" s="8">
        <f>F77/'dynamic numbers'!$H$1</f>
        <v>220</v>
      </c>
    </row>
    <row r="78">
      <c r="A78" s="30"/>
      <c r="B78" s="30"/>
      <c r="C78" s="30"/>
      <c r="D78" s="30"/>
      <c r="E78" s="30"/>
      <c r="F78" s="38">
        <v>4450.0</v>
      </c>
      <c r="G78" s="28"/>
      <c r="H78" s="8">
        <f>F78/'dynamic numbers'!$H$1</f>
        <v>222.5</v>
      </c>
    </row>
    <row r="79">
      <c r="A79" s="30"/>
      <c r="B79" s="30"/>
      <c r="C79" s="30"/>
      <c r="D79" s="30"/>
      <c r="E79" s="30"/>
      <c r="F79" s="38">
        <v>4500.0</v>
      </c>
      <c r="G79" s="28"/>
      <c r="H79" s="8">
        <f>F79/'dynamic numbers'!$H$1</f>
        <v>225</v>
      </c>
    </row>
    <row r="80">
      <c r="A80" s="33"/>
      <c r="B80" s="33"/>
      <c r="C80" s="33"/>
      <c r="D80" s="33"/>
      <c r="E80" s="33"/>
      <c r="F80" s="38">
        <v>4550.0</v>
      </c>
      <c r="G80" s="31"/>
      <c r="H80" s="8">
        <f>F80/'dynamic numbers'!$H$1</f>
        <v>227.5</v>
      </c>
    </row>
    <row r="81">
      <c r="A81" s="23">
        <f>1+A74</f>
        <v>14</v>
      </c>
      <c r="B81" s="26" t="s">
        <v>76</v>
      </c>
      <c r="C81" s="23">
        <f>D74+1</f>
        <v>4601</v>
      </c>
      <c r="D81" s="23">
        <f>IFERROR(__xludf.DUMMYFUNCTION("VALUE(REGEXEXTRACT(B81,""-(\d[\d,]*)""))"),5000.0)</f>
        <v>5000</v>
      </c>
      <c r="E81" s="23">
        <v>22.0</v>
      </c>
      <c r="F81" s="38">
        <v>4625.0</v>
      </c>
      <c r="G81" s="28"/>
      <c r="H81" s="8">
        <f>F81/'dynamic numbers'!$H$1</f>
        <v>231.25</v>
      </c>
    </row>
    <row r="82">
      <c r="A82" s="30"/>
      <c r="B82" s="30"/>
      <c r="C82" s="30"/>
      <c r="D82" s="30"/>
      <c r="E82" s="30"/>
      <c r="F82" s="38">
        <v>4700.0</v>
      </c>
      <c r="G82" s="28"/>
      <c r="H82" s="8">
        <f>F82/'dynamic numbers'!$H$1</f>
        <v>235</v>
      </c>
    </row>
    <row r="83">
      <c r="A83" s="30"/>
      <c r="B83" s="30"/>
      <c r="C83" s="30"/>
      <c r="D83" s="30"/>
      <c r="E83" s="30"/>
      <c r="F83" s="38">
        <v>4750.0</v>
      </c>
      <c r="G83" s="28"/>
      <c r="H83" s="8">
        <f>F83/'dynamic numbers'!$H$1</f>
        <v>237.5</v>
      </c>
    </row>
    <row r="84">
      <c r="A84" s="30"/>
      <c r="B84" s="30"/>
      <c r="C84" s="30"/>
      <c r="D84" s="30"/>
      <c r="E84" s="30"/>
      <c r="F84" s="38">
        <v>4800.0</v>
      </c>
      <c r="G84" s="29"/>
      <c r="H84" s="8">
        <f>F84/'dynamic numbers'!$H$1</f>
        <v>240</v>
      </c>
    </row>
    <row r="85">
      <c r="A85" s="30"/>
      <c r="B85" s="30"/>
      <c r="C85" s="30"/>
      <c r="D85" s="30"/>
      <c r="E85" s="30"/>
      <c r="F85" s="38">
        <v>4850.0</v>
      </c>
      <c r="G85" s="28"/>
      <c r="H85" s="8">
        <f>F85/'dynamic numbers'!$H$1</f>
        <v>242.5</v>
      </c>
    </row>
    <row r="86">
      <c r="A86" s="30"/>
      <c r="B86" s="30"/>
      <c r="C86" s="30"/>
      <c r="D86" s="30"/>
      <c r="E86" s="30"/>
      <c r="F86" s="38">
        <v>4900.0</v>
      </c>
      <c r="G86" s="31"/>
      <c r="H86" s="8">
        <f>F86/'dynamic numbers'!$H$1</f>
        <v>245</v>
      </c>
    </row>
    <row r="87">
      <c r="A87" s="33"/>
      <c r="B87" s="33"/>
      <c r="C87" s="33"/>
      <c r="D87" s="33"/>
      <c r="E87" s="33"/>
      <c r="F87" s="38">
        <v>4950.0</v>
      </c>
      <c r="G87" s="28"/>
      <c r="H87" s="8">
        <f>F87/'dynamic numbers'!$H$1</f>
        <v>247.5</v>
      </c>
    </row>
    <row r="88">
      <c r="A88" s="23">
        <f>1+A81</f>
        <v>15</v>
      </c>
      <c r="B88" s="26" t="s">
        <v>77</v>
      </c>
      <c r="C88" s="23">
        <f>D81+1</f>
        <v>5001</v>
      </c>
      <c r="D88" s="23">
        <f>IFERROR(__xludf.DUMMYFUNCTION("VALUE(REGEXEXTRACT(B88,""-(\d[\d,]*)""))"),5500.0)</f>
        <v>5500</v>
      </c>
      <c r="E88" s="23">
        <v>24.0</v>
      </c>
      <c r="F88" s="38">
        <v>5025.0</v>
      </c>
      <c r="G88" s="29"/>
      <c r="H88" s="8">
        <f>F88/'dynamic numbers'!$H$1</f>
        <v>251.25</v>
      </c>
    </row>
    <row r="89">
      <c r="A89" s="30"/>
      <c r="B89" s="30"/>
      <c r="C89" s="30"/>
      <c r="D89" s="30"/>
      <c r="E89" s="30"/>
      <c r="F89" s="38">
        <v>5100.0</v>
      </c>
      <c r="G89" s="28"/>
      <c r="H89" s="8">
        <f>F89/'dynamic numbers'!$H$1</f>
        <v>255</v>
      </c>
    </row>
    <row r="90">
      <c r="A90" s="30"/>
      <c r="B90" s="30"/>
      <c r="C90" s="30"/>
      <c r="D90" s="30"/>
      <c r="E90" s="30"/>
      <c r="F90" s="38">
        <v>5150.0</v>
      </c>
      <c r="G90" s="28"/>
      <c r="H90" s="8">
        <f>F90/'dynamic numbers'!$H$1</f>
        <v>257.5</v>
      </c>
    </row>
    <row r="91">
      <c r="A91" s="30"/>
      <c r="B91" s="30"/>
      <c r="C91" s="30"/>
      <c r="D91" s="30"/>
      <c r="E91" s="30"/>
      <c r="F91" s="38">
        <v>5200.0</v>
      </c>
      <c r="G91" s="29"/>
      <c r="H91" s="8">
        <f>F91/'dynamic numbers'!$H$1</f>
        <v>260</v>
      </c>
    </row>
    <row r="92">
      <c r="A92" s="30"/>
      <c r="B92" s="30"/>
      <c r="C92" s="30"/>
      <c r="D92" s="30"/>
      <c r="E92" s="30"/>
      <c r="F92" s="38">
        <v>5350.0</v>
      </c>
      <c r="G92" s="28"/>
      <c r="H92" s="8">
        <f>F92/'dynamic numbers'!$H$1</f>
        <v>267.5</v>
      </c>
    </row>
    <row r="93">
      <c r="A93" s="30"/>
      <c r="B93" s="30"/>
      <c r="C93" s="30"/>
      <c r="D93" s="30"/>
      <c r="E93" s="30"/>
      <c r="F93" s="38">
        <v>5400.0</v>
      </c>
      <c r="G93" s="28"/>
      <c r="H93" s="8">
        <f>F93/'dynamic numbers'!$H$1</f>
        <v>270</v>
      </c>
    </row>
    <row r="94">
      <c r="A94" s="33"/>
      <c r="B94" s="33"/>
      <c r="C94" s="33"/>
      <c r="D94" s="33"/>
      <c r="E94" s="33"/>
      <c r="F94" s="38">
        <v>5450.0</v>
      </c>
      <c r="G94" s="31"/>
      <c r="H94" s="8">
        <f>F94/'dynamic numbers'!$H$1</f>
        <v>272.5</v>
      </c>
    </row>
    <row r="95">
      <c r="A95" s="23">
        <f>1+A88</f>
        <v>16</v>
      </c>
      <c r="B95" s="26" t="s">
        <v>78</v>
      </c>
      <c r="C95" s="23">
        <f>D88+1</f>
        <v>5501</v>
      </c>
      <c r="D95" s="23">
        <f>IFERROR(__xludf.DUMMYFUNCTION("VALUE(REGEXEXTRACT(B95,""-(\d[\d,]*)""))"),6000.0)</f>
        <v>6000</v>
      </c>
      <c r="E95" s="23">
        <v>24.0</v>
      </c>
      <c r="F95" s="38">
        <v>5525.0</v>
      </c>
      <c r="G95" s="29"/>
      <c r="H95" s="8">
        <f>F95/'dynamic numbers'!$H$1</f>
        <v>276.25</v>
      </c>
    </row>
    <row r="96">
      <c r="A96" s="30"/>
      <c r="B96" s="30"/>
      <c r="C96" s="30"/>
      <c r="D96" s="30"/>
      <c r="E96" s="30"/>
      <c r="F96" s="38">
        <v>5600.0</v>
      </c>
      <c r="G96" s="28"/>
      <c r="H96" s="8">
        <f>F96/'dynamic numbers'!$H$1</f>
        <v>280</v>
      </c>
    </row>
    <row r="97">
      <c r="A97" s="30"/>
      <c r="B97" s="30"/>
      <c r="C97" s="30"/>
      <c r="D97" s="30"/>
      <c r="E97" s="30"/>
      <c r="F97" s="38">
        <v>5675.0</v>
      </c>
      <c r="G97" s="31"/>
      <c r="H97" s="8">
        <f>F97/'dynamic numbers'!$H$1</f>
        <v>283.75</v>
      </c>
    </row>
    <row r="98">
      <c r="A98" s="30"/>
      <c r="B98" s="30"/>
      <c r="C98" s="30"/>
      <c r="D98" s="30"/>
      <c r="E98" s="30"/>
      <c r="F98" s="38">
        <v>5750.0</v>
      </c>
      <c r="G98" s="31"/>
      <c r="H98" s="8">
        <f>F98/'dynamic numbers'!$H$1</f>
        <v>287.5</v>
      </c>
    </row>
    <row r="99">
      <c r="A99" s="30"/>
      <c r="B99" s="30"/>
      <c r="C99" s="30"/>
      <c r="D99" s="30"/>
      <c r="E99" s="30"/>
      <c r="F99" s="38">
        <v>5825.0</v>
      </c>
      <c r="G99" s="28"/>
      <c r="H99" s="8">
        <f>F99/'dynamic numbers'!$H$1</f>
        <v>291.25</v>
      </c>
    </row>
    <row r="100">
      <c r="A100" s="30"/>
      <c r="B100" s="30"/>
      <c r="C100" s="30"/>
      <c r="D100" s="30"/>
      <c r="E100" s="30"/>
      <c r="F100" s="38">
        <v>5900.0</v>
      </c>
      <c r="G100" s="28"/>
      <c r="H100" s="8">
        <f>F100/'dynamic numbers'!$H$1</f>
        <v>295</v>
      </c>
    </row>
    <row r="101">
      <c r="A101" s="33"/>
      <c r="B101" s="33"/>
      <c r="C101" s="33"/>
      <c r="D101" s="33"/>
      <c r="E101" s="33"/>
      <c r="F101" s="38">
        <v>5975.0</v>
      </c>
      <c r="G101" s="29"/>
      <c r="H101" s="8">
        <f>F101/'dynamic numbers'!$H$1</f>
        <v>298.75</v>
      </c>
    </row>
    <row r="102">
      <c r="A102" s="23">
        <f>1+A95</f>
        <v>17</v>
      </c>
      <c r="B102" s="26" t="s">
        <v>79</v>
      </c>
      <c r="C102" s="23">
        <f>D95+1</f>
        <v>6001</v>
      </c>
      <c r="D102" s="23">
        <f>IFERROR(__xludf.DUMMYFUNCTION("VALUE(REGEXEXTRACT(B102,""-(\d[\d,]*)""))"),6500.0)</f>
        <v>6500</v>
      </c>
      <c r="E102" s="23">
        <v>24.0</v>
      </c>
      <c r="F102" s="38">
        <v>6050.0</v>
      </c>
      <c r="G102" s="31"/>
      <c r="H102" s="8">
        <f>F102/'dynamic numbers'!$H$1</f>
        <v>302.5</v>
      </c>
    </row>
    <row r="103">
      <c r="A103" s="30"/>
      <c r="B103" s="30"/>
      <c r="C103" s="30"/>
      <c r="D103" s="30"/>
      <c r="E103" s="30"/>
      <c r="F103" s="38">
        <v>6100.0</v>
      </c>
      <c r="G103" s="31"/>
      <c r="H103" s="8">
        <f>F103/'dynamic numbers'!$H$1</f>
        <v>305</v>
      </c>
    </row>
    <row r="104">
      <c r="A104" s="30"/>
      <c r="B104" s="30"/>
      <c r="C104" s="30"/>
      <c r="D104" s="30"/>
      <c r="E104" s="30"/>
      <c r="F104" s="38">
        <v>6150.0</v>
      </c>
      <c r="G104" s="28"/>
      <c r="H104" s="8">
        <f>F104/'dynamic numbers'!$H$1</f>
        <v>307.5</v>
      </c>
    </row>
    <row r="105">
      <c r="A105" s="30"/>
      <c r="B105" s="30"/>
      <c r="C105" s="30"/>
      <c r="D105" s="30"/>
      <c r="E105" s="30"/>
      <c r="F105" s="38">
        <v>6225.0</v>
      </c>
      <c r="G105" s="28"/>
      <c r="H105" s="8">
        <f>F105/'dynamic numbers'!$H$1</f>
        <v>311.25</v>
      </c>
    </row>
    <row r="106">
      <c r="A106" s="30"/>
      <c r="B106" s="30"/>
      <c r="C106" s="30"/>
      <c r="D106" s="30"/>
      <c r="E106" s="30"/>
      <c r="F106" s="38">
        <v>6300.0</v>
      </c>
      <c r="G106" s="28"/>
      <c r="H106" s="8">
        <f>F106/'dynamic numbers'!$H$1</f>
        <v>315</v>
      </c>
    </row>
    <row r="107">
      <c r="A107" s="30"/>
      <c r="B107" s="30"/>
      <c r="C107" s="30"/>
      <c r="D107" s="30"/>
      <c r="E107" s="30"/>
      <c r="F107" s="38">
        <v>6375.0</v>
      </c>
      <c r="G107" s="31"/>
      <c r="H107" s="8">
        <f>F107/'dynamic numbers'!$H$1</f>
        <v>318.75</v>
      </c>
    </row>
    <row r="108">
      <c r="A108" s="33"/>
      <c r="B108" s="33"/>
      <c r="C108" s="33"/>
      <c r="D108" s="33"/>
      <c r="E108" s="33"/>
      <c r="F108" s="38">
        <v>6450.0</v>
      </c>
      <c r="G108" s="29"/>
      <c r="H108" s="8">
        <f>F108/'dynamic numbers'!$H$1</f>
        <v>322.5</v>
      </c>
    </row>
    <row r="109">
      <c r="A109" s="23">
        <f>1+A102</f>
        <v>18</v>
      </c>
      <c r="B109" s="26" t="s">
        <v>80</v>
      </c>
      <c r="C109" s="23">
        <f>D102+1</f>
        <v>6501</v>
      </c>
      <c r="D109" s="23">
        <f>IFERROR(__xludf.DUMMYFUNCTION("VALUE(REGEXEXTRACT(B109,""-(\d[\d,]*)""))"),7000.0)</f>
        <v>7000</v>
      </c>
      <c r="E109" s="23">
        <v>24.0</v>
      </c>
      <c r="F109" s="38">
        <v>6525.0</v>
      </c>
      <c r="G109" s="28"/>
      <c r="H109" s="8">
        <f>F109/'dynamic numbers'!$H$1</f>
        <v>326.25</v>
      </c>
    </row>
    <row r="110">
      <c r="A110" s="30"/>
      <c r="B110" s="30"/>
      <c r="C110" s="30"/>
      <c r="D110" s="30"/>
      <c r="E110" s="30"/>
      <c r="F110" s="38">
        <v>6600.0</v>
      </c>
      <c r="G110" s="28"/>
      <c r="H110" s="8">
        <f>F110/'dynamic numbers'!$H$1</f>
        <v>330</v>
      </c>
    </row>
    <row r="111">
      <c r="A111" s="30"/>
      <c r="B111" s="30"/>
      <c r="C111" s="30"/>
      <c r="D111" s="30"/>
      <c r="E111" s="30"/>
      <c r="F111" s="38">
        <v>6675.0</v>
      </c>
      <c r="G111" s="31"/>
      <c r="H111" s="8">
        <f>F111/'dynamic numbers'!$H$1</f>
        <v>333.75</v>
      </c>
    </row>
    <row r="112">
      <c r="A112" s="30"/>
      <c r="B112" s="30"/>
      <c r="C112" s="30"/>
      <c r="D112" s="30"/>
      <c r="E112" s="30"/>
      <c r="F112" s="38">
        <v>6750.0</v>
      </c>
      <c r="G112" s="28"/>
      <c r="H112" s="8">
        <f>F112/'dynamic numbers'!$H$1</f>
        <v>337.5</v>
      </c>
    </row>
    <row r="113">
      <c r="A113" s="30"/>
      <c r="B113" s="30"/>
      <c r="C113" s="30"/>
      <c r="D113" s="30"/>
      <c r="E113" s="30"/>
      <c r="F113" s="38">
        <v>6825.0</v>
      </c>
      <c r="G113" s="28"/>
      <c r="H113" s="8">
        <f>F113/'dynamic numbers'!$H$1</f>
        <v>341.25</v>
      </c>
    </row>
    <row r="114">
      <c r="A114" s="30"/>
      <c r="B114" s="30"/>
      <c r="C114" s="30"/>
      <c r="D114" s="30"/>
      <c r="E114" s="30"/>
      <c r="F114" s="38">
        <v>6900.0</v>
      </c>
      <c r="G114" s="29"/>
      <c r="H114" s="8">
        <f>F114/'dynamic numbers'!$H$1</f>
        <v>345</v>
      </c>
    </row>
    <row r="115">
      <c r="A115" s="33"/>
      <c r="B115" s="33"/>
      <c r="C115" s="33"/>
      <c r="D115" s="33"/>
      <c r="E115" s="33"/>
      <c r="F115" s="38">
        <v>6975.0</v>
      </c>
      <c r="G115" s="29"/>
      <c r="H115" s="8">
        <f>F115/'dynamic numbers'!$H$1</f>
        <v>348.75</v>
      </c>
    </row>
    <row r="116">
      <c r="A116" s="23">
        <f>1+A109</f>
        <v>19</v>
      </c>
      <c r="B116" s="26" t="s">
        <v>81</v>
      </c>
      <c r="C116" s="23">
        <f>D109+1</f>
        <v>7001</v>
      </c>
      <c r="D116" s="23">
        <f>IFERROR(__xludf.DUMMYFUNCTION("VALUE(REGEXEXTRACT(B116,""-(\d[\d,]*)""))"),7500.0)</f>
        <v>7500</v>
      </c>
      <c r="E116" s="23">
        <v>24.0</v>
      </c>
      <c r="F116" s="38">
        <v>7050.0</v>
      </c>
      <c r="G116" s="28"/>
      <c r="H116" s="8">
        <f>F116/'dynamic numbers'!$H$1</f>
        <v>352.5</v>
      </c>
    </row>
    <row r="117">
      <c r="A117" s="30"/>
      <c r="B117" s="30"/>
      <c r="C117" s="30"/>
      <c r="D117" s="30"/>
      <c r="E117" s="30"/>
      <c r="F117" s="38">
        <v>7100.0</v>
      </c>
      <c r="G117" s="31"/>
      <c r="H117" s="8">
        <f>F117/'dynamic numbers'!$H$1</f>
        <v>355</v>
      </c>
    </row>
    <row r="118">
      <c r="A118" s="30"/>
      <c r="B118" s="30"/>
      <c r="C118" s="30"/>
      <c r="D118" s="30"/>
      <c r="E118" s="30"/>
      <c r="F118" s="38">
        <v>7150.0</v>
      </c>
      <c r="G118" s="31"/>
      <c r="H118" s="8">
        <f>F118/'dynamic numbers'!$H$1</f>
        <v>357.5</v>
      </c>
    </row>
    <row r="119">
      <c r="A119" s="30"/>
      <c r="B119" s="30"/>
      <c r="C119" s="30"/>
      <c r="D119" s="30"/>
      <c r="E119" s="30"/>
      <c r="F119" s="38">
        <v>7225.0</v>
      </c>
      <c r="G119" s="28"/>
      <c r="H119" s="8">
        <f>F119/'dynamic numbers'!$H$1</f>
        <v>361.25</v>
      </c>
    </row>
    <row r="120">
      <c r="A120" s="30"/>
      <c r="B120" s="30"/>
      <c r="C120" s="30"/>
      <c r="D120" s="30"/>
      <c r="E120" s="30"/>
      <c r="F120" s="38">
        <v>7300.0</v>
      </c>
      <c r="G120" s="29"/>
      <c r="H120" s="8">
        <f>F120/'dynamic numbers'!$H$1</f>
        <v>365</v>
      </c>
    </row>
    <row r="121">
      <c r="A121" s="30"/>
      <c r="B121" s="30"/>
      <c r="C121" s="30"/>
      <c r="D121" s="30"/>
      <c r="E121" s="30"/>
      <c r="F121" s="38">
        <v>7375.0</v>
      </c>
      <c r="G121" s="31"/>
      <c r="H121" s="8">
        <f>F121/'dynamic numbers'!$H$1</f>
        <v>368.75</v>
      </c>
    </row>
    <row r="122">
      <c r="A122" s="33"/>
      <c r="B122" s="33"/>
      <c r="C122" s="33"/>
      <c r="D122" s="33"/>
      <c r="E122" s="33"/>
      <c r="F122" s="38">
        <v>7450.0</v>
      </c>
      <c r="G122" s="28"/>
      <c r="H122" s="8">
        <f>F122/'dynamic numbers'!$H$1</f>
        <v>372.5</v>
      </c>
    </row>
    <row r="123">
      <c r="A123" s="23">
        <f>1+A116</f>
        <v>20</v>
      </c>
      <c r="B123" s="26" t="s">
        <v>82</v>
      </c>
      <c r="C123" s="23">
        <f>D116+1</f>
        <v>7501</v>
      </c>
      <c r="D123" s="23">
        <f>IFERROR(__xludf.DUMMYFUNCTION("VALUE(REGEXEXTRACT(B123,""-(\d[\d,]*)""))"),8000.0)</f>
        <v>8000</v>
      </c>
      <c r="E123" s="23">
        <v>24.0</v>
      </c>
      <c r="F123" s="38">
        <v>7525.0</v>
      </c>
      <c r="G123" s="28"/>
      <c r="H123" s="8">
        <f>F123/'dynamic numbers'!$H$1</f>
        <v>376.25</v>
      </c>
    </row>
    <row r="124">
      <c r="A124" s="30"/>
      <c r="B124" s="30"/>
      <c r="C124" s="30"/>
      <c r="D124" s="30"/>
      <c r="E124" s="30"/>
      <c r="F124" s="38">
        <v>7600.0</v>
      </c>
      <c r="G124" s="31"/>
      <c r="H124" s="8">
        <f>F124/'dynamic numbers'!$H$1</f>
        <v>380</v>
      </c>
    </row>
    <row r="125">
      <c r="A125" s="30"/>
      <c r="B125" s="30"/>
      <c r="C125" s="30"/>
      <c r="D125" s="30"/>
      <c r="E125" s="30"/>
      <c r="F125" s="38">
        <v>7675.0</v>
      </c>
      <c r="G125" s="28"/>
      <c r="H125" s="8">
        <f>F125/'dynamic numbers'!$H$1</f>
        <v>383.75</v>
      </c>
    </row>
    <row r="126">
      <c r="A126" s="30"/>
      <c r="B126" s="30"/>
      <c r="C126" s="30"/>
      <c r="D126" s="30"/>
      <c r="E126" s="30"/>
      <c r="F126" s="38">
        <v>7750.0</v>
      </c>
      <c r="G126" s="28"/>
      <c r="H126" s="8">
        <f>F126/'dynamic numbers'!$H$1</f>
        <v>387.5</v>
      </c>
    </row>
    <row r="127">
      <c r="A127" s="30"/>
      <c r="B127" s="30"/>
      <c r="C127" s="30"/>
      <c r="D127" s="30"/>
      <c r="E127" s="30"/>
      <c r="F127" s="38">
        <v>7825.0</v>
      </c>
      <c r="G127" s="31"/>
      <c r="H127" s="8">
        <f>F127/'dynamic numbers'!$H$1</f>
        <v>391.25</v>
      </c>
    </row>
    <row r="128">
      <c r="A128" s="30"/>
      <c r="B128" s="30"/>
      <c r="C128" s="30"/>
      <c r="D128" s="30"/>
      <c r="E128" s="30"/>
      <c r="F128" s="38">
        <v>7900.0</v>
      </c>
      <c r="G128" s="28"/>
      <c r="H128" s="8">
        <f>F128/'dynamic numbers'!$H$1</f>
        <v>395</v>
      </c>
    </row>
    <row r="129">
      <c r="A129" s="33"/>
      <c r="B129" s="33"/>
      <c r="C129" s="33"/>
      <c r="D129" s="33"/>
      <c r="E129" s="33"/>
      <c r="F129" s="38">
        <v>7975.0</v>
      </c>
      <c r="G129" s="31"/>
      <c r="H129" s="8">
        <f>F129/'dynamic numbers'!$H$1</f>
        <v>398.75</v>
      </c>
    </row>
    <row r="130">
      <c r="A130" s="23">
        <f>1+A123</f>
        <v>21</v>
      </c>
      <c r="B130" s="26" t="s">
        <v>83</v>
      </c>
      <c r="C130" s="23">
        <f>D123+1</f>
        <v>8001</v>
      </c>
      <c r="D130" s="23">
        <f>IFERROR(__xludf.DUMMYFUNCTION("VALUE(REGEXEXTRACT(B130,""-(\d[\d,]*)""))"),8500.0)</f>
        <v>8500</v>
      </c>
      <c r="E130" s="23">
        <v>24.0</v>
      </c>
      <c r="F130" s="38">
        <v>8050.0</v>
      </c>
      <c r="G130" s="31"/>
      <c r="H130" s="8">
        <f>F130/'dynamic numbers'!$H$1</f>
        <v>402.5</v>
      </c>
    </row>
    <row r="131">
      <c r="A131" s="30"/>
      <c r="B131" s="30"/>
      <c r="C131" s="30"/>
      <c r="D131" s="30"/>
      <c r="E131" s="30"/>
      <c r="F131" s="38">
        <v>8100.0</v>
      </c>
      <c r="G131" s="28"/>
      <c r="H131" s="8">
        <f>F131/'dynamic numbers'!$H$1</f>
        <v>405</v>
      </c>
    </row>
    <row r="132">
      <c r="A132" s="30"/>
      <c r="B132" s="30"/>
      <c r="C132" s="30"/>
      <c r="D132" s="30"/>
      <c r="E132" s="30"/>
      <c r="F132" s="38">
        <v>8175.0</v>
      </c>
      <c r="G132" s="28"/>
      <c r="H132" s="8">
        <f>F132/'dynamic numbers'!$H$1</f>
        <v>408.75</v>
      </c>
    </row>
    <row r="133">
      <c r="A133" s="30"/>
      <c r="B133" s="30"/>
      <c r="C133" s="30"/>
      <c r="D133" s="30"/>
      <c r="E133" s="30"/>
      <c r="F133" s="38">
        <v>8250.0</v>
      </c>
      <c r="G133" s="28"/>
      <c r="H133" s="8">
        <f>F133/'dynamic numbers'!$H$1</f>
        <v>412.5</v>
      </c>
    </row>
    <row r="134">
      <c r="A134" s="30"/>
      <c r="B134" s="30"/>
      <c r="C134" s="30"/>
      <c r="D134" s="30"/>
      <c r="E134" s="30"/>
      <c r="F134" s="38">
        <v>8325.0</v>
      </c>
      <c r="G134" s="28"/>
      <c r="H134" s="8">
        <f>F134/'dynamic numbers'!$H$1</f>
        <v>416.25</v>
      </c>
    </row>
    <row r="135">
      <c r="A135" s="30"/>
      <c r="B135" s="30"/>
      <c r="C135" s="30"/>
      <c r="D135" s="30"/>
      <c r="E135" s="30"/>
      <c r="F135" s="38">
        <v>8400.0</v>
      </c>
      <c r="G135" s="28"/>
      <c r="H135" s="8">
        <f>F135/'dynamic numbers'!$H$1</f>
        <v>420</v>
      </c>
    </row>
    <row r="136">
      <c r="A136" s="33"/>
      <c r="B136" s="33"/>
      <c r="C136" s="33"/>
      <c r="D136" s="33"/>
      <c r="E136" s="33"/>
      <c r="F136" s="38">
        <v>8475.0</v>
      </c>
      <c r="G136" s="31"/>
      <c r="H136" s="8">
        <f>F136/'dynamic numbers'!$H$1</f>
        <v>423.75</v>
      </c>
    </row>
    <row r="137">
      <c r="A137" s="23">
        <f>1+A130</f>
        <v>22</v>
      </c>
      <c r="B137" s="26" t="s">
        <v>84</v>
      </c>
      <c r="C137" s="23">
        <f>D130+1</f>
        <v>8501</v>
      </c>
      <c r="D137" s="23">
        <f>IFERROR(__xludf.DUMMYFUNCTION("VALUE(REGEXEXTRACT(B137,""-(\d[\d,]*)""))"),9000.0)</f>
        <v>9000</v>
      </c>
      <c r="E137" s="23">
        <v>24.0</v>
      </c>
      <c r="F137" s="38">
        <v>8550.0</v>
      </c>
      <c r="G137" s="31"/>
      <c r="H137" s="8">
        <f>F137/'dynamic numbers'!$H$1</f>
        <v>427.5</v>
      </c>
    </row>
    <row r="138">
      <c r="A138" s="30"/>
      <c r="B138" s="30"/>
      <c r="C138" s="30"/>
      <c r="D138" s="30"/>
      <c r="E138" s="30"/>
      <c r="F138" s="38">
        <v>8600.0</v>
      </c>
      <c r="G138" s="28"/>
      <c r="H138" s="8">
        <f>F138/'dynamic numbers'!$H$1</f>
        <v>430</v>
      </c>
    </row>
    <row r="139">
      <c r="A139" s="30"/>
      <c r="B139" s="30"/>
      <c r="C139" s="30"/>
      <c r="D139" s="30"/>
      <c r="E139" s="30"/>
      <c r="F139" s="38">
        <v>8675.0</v>
      </c>
      <c r="G139" s="28"/>
      <c r="H139" s="8">
        <f>F139/'dynamic numbers'!$H$1</f>
        <v>433.75</v>
      </c>
    </row>
    <row r="140">
      <c r="A140" s="30"/>
      <c r="B140" s="30"/>
      <c r="C140" s="30"/>
      <c r="D140" s="30"/>
      <c r="E140" s="30"/>
      <c r="F140" s="38">
        <v>8750.0</v>
      </c>
      <c r="G140" s="28"/>
      <c r="H140" s="8">
        <f>F140/'dynamic numbers'!$H$1</f>
        <v>437.5</v>
      </c>
    </row>
    <row r="141">
      <c r="A141" s="30"/>
      <c r="B141" s="30"/>
      <c r="C141" s="30"/>
      <c r="D141" s="30"/>
      <c r="E141" s="30"/>
      <c r="F141" s="38">
        <v>8825.0</v>
      </c>
      <c r="G141" s="28"/>
      <c r="H141" s="8">
        <f>F141/'dynamic numbers'!$H$1</f>
        <v>441.25</v>
      </c>
    </row>
    <row r="142">
      <c r="A142" s="30"/>
      <c r="B142" s="30"/>
      <c r="C142" s="30"/>
      <c r="D142" s="30"/>
      <c r="E142" s="30"/>
      <c r="F142" s="38">
        <v>8900.0</v>
      </c>
      <c r="G142" s="28"/>
      <c r="H142" s="8">
        <f>F142/'dynamic numbers'!$H$1</f>
        <v>445</v>
      </c>
    </row>
    <row r="143">
      <c r="A143" s="33"/>
      <c r="B143" s="33"/>
      <c r="C143" s="33"/>
      <c r="D143" s="33"/>
      <c r="E143" s="33"/>
      <c r="F143" s="38">
        <v>8950.0</v>
      </c>
      <c r="G143" s="31"/>
      <c r="H143" s="8">
        <f>F143/'dynamic numbers'!$H$1</f>
        <v>447.5</v>
      </c>
    </row>
    <row r="144">
      <c r="A144" s="23">
        <f>1+A137</f>
        <v>23</v>
      </c>
      <c r="B144" s="26" t="s">
        <v>85</v>
      </c>
      <c r="C144" s="23">
        <f>D137+1</f>
        <v>9001</v>
      </c>
      <c r="D144" s="23">
        <f>IFERROR(__xludf.DUMMYFUNCTION("VALUE(REGEXEXTRACT(B144,""-(\d[\d,]*)""))"),9500.0)</f>
        <v>9500</v>
      </c>
      <c r="E144" s="23">
        <v>24.0</v>
      </c>
      <c r="F144" s="38">
        <v>9050.0</v>
      </c>
      <c r="G144" s="31"/>
      <c r="H144" s="8">
        <f>F144/'dynamic numbers'!$H$1</f>
        <v>452.5</v>
      </c>
    </row>
    <row r="145">
      <c r="A145" s="30"/>
      <c r="B145" s="30"/>
      <c r="C145" s="30"/>
      <c r="D145" s="30"/>
      <c r="E145" s="30"/>
      <c r="F145" s="38">
        <v>9100.0</v>
      </c>
      <c r="G145" s="28"/>
      <c r="H145" s="8">
        <f>F145/'dynamic numbers'!$H$1</f>
        <v>455</v>
      </c>
    </row>
    <row r="146">
      <c r="A146" s="30"/>
      <c r="B146" s="30"/>
      <c r="C146" s="30"/>
      <c r="D146" s="30"/>
      <c r="E146" s="30"/>
      <c r="F146" s="38">
        <v>9175.0</v>
      </c>
      <c r="G146" s="31"/>
      <c r="H146" s="8">
        <f>F146/'dynamic numbers'!$H$1</f>
        <v>458.75</v>
      </c>
    </row>
    <row r="147">
      <c r="A147" s="30"/>
      <c r="B147" s="30"/>
      <c r="C147" s="30"/>
      <c r="D147" s="30"/>
      <c r="E147" s="30"/>
      <c r="F147" s="38">
        <v>9250.0</v>
      </c>
      <c r="G147" s="28"/>
      <c r="H147" s="8">
        <f>F147/'dynamic numbers'!$H$1</f>
        <v>462.5</v>
      </c>
    </row>
    <row r="148">
      <c r="A148" s="30"/>
      <c r="B148" s="30"/>
      <c r="C148" s="30"/>
      <c r="D148" s="30"/>
      <c r="E148" s="30"/>
      <c r="F148" s="38">
        <v>9325.0</v>
      </c>
      <c r="G148" s="28"/>
      <c r="H148" s="8">
        <f>F148/'dynamic numbers'!$H$1</f>
        <v>466.25</v>
      </c>
    </row>
    <row r="149">
      <c r="A149" s="30"/>
      <c r="B149" s="30"/>
      <c r="C149" s="30"/>
      <c r="D149" s="30"/>
      <c r="E149" s="30"/>
      <c r="F149" s="38">
        <v>9400.0</v>
      </c>
      <c r="G149" s="31"/>
      <c r="H149" s="8">
        <f>F149/'dynamic numbers'!$H$1</f>
        <v>470</v>
      </c>
    </row>
    <row r="150">
      <c r="A150" s="33"/>
      <c r="B150" s="33"/>
      <c r="C150" s="33"/>
      <c r="D150" s="33"/>
      <c r="E150" s="33"/>
      <c r="F150" s="38">
        <v>9475.0</v>
      </c>
      <c r="G150" s="31"/>
      <c r="H150" s="8">
        <f>F150/'dynamic numbers'!$H$1</f>
        <v>473.75</v>
      </c>
    </row>
    <row r="151">
      <c r="A151" s="23">
        <f>1+A144</f>
        <v>24</v>
      </c>
      <c r="B151" s="26" t="s">
        <v>86</v>
      </c>
      <c r="C151" s="23">
        <f>D144+1</f>
        <v>9501</v>
      </c>
      <c r="D151" s="23">
        <f>IFERROR(__xludf.DUMMYFUNCTION("VALUE(REGEXEXTRACT(B151,""-(\d[\d,]*)""))"),10000.0)</f>
        <v>10000</v>
      </c>
      <c r="E151" s="23">
        <v>24.0</v>
      </c>
      <c r="F151" s="38">
        <v>9550.0</v>
      </c>
      <c r="G151" s="31"/>
      <c r="H151" s="8">
        <f>F151/'dynamic numbers'!$H$1</f>
        <v>477.5</v>
      </c>
    </row>
    <row r="152">
      <c r="A152" s="30"/>
      <c r="B152" s="30"/>
      <c r="C152" s="30"/>
      <c r="D152" s="30"/>
      <c r="E152" s="30"/>
      <c r="F152" s="38">
        <v>9600.0</v>
      </c>
      <c r="G152" s="28"/>
      <c r="H152" s="8">
        <f>F152/'dynamic numbers'!$H$1</f>
        <v>480</v>
      </c>
    </row>
    <row r="153">
      <c r="A153" s="30"/>
      <c r="B153" s="30"/>
      <c r="C153" s="30"/>
      <c r="D153" s="30"/>
      <c r="E153" s="30"/>
      <c r="F153" s="38">
        <v>9675.0</v>
      </c>
      <c r="G153" s="31"/>
      <c r="H153" s="8">
        <f>F153/'dynamic numbers'!$H$1</f>
        <v>483.75</v>
      </c>
    </row>
    <row r="154">
      <c r="A154" s="30"/>
      <c r="B154" s="30"/>
      <c r="C154" s="30"/>
      <c r="D154" s="30"/>
      <c r="E154" s="30"/>
      <c r="F154" s="38">
        <v>9750.0</v>
      </c>
      <c r="G154" s="31"/>
      <c r="H154" s="8">
        <f>F154/'dynamic numbers'!$H$1</f>
        <v>487.5</v>
      </c>
    </row>
    <row r="155">
      <c r="A155" s="30"/>
      <c r="B155" s="30"/>
      <c r="C155" s="30"/>
      <c r="D155" s="30"/>
      <c r="E155" s="30"/>
      <c r="F155" s="38">
        <v>9825.0</v>
      </c>
      <c r="G155" s="28"/>
      <c r="H155" s="8">
        <f>F155/'dynamic numbers'!$H$1</f>
        <v>491.25</v>
      </c>
    </row>
    <row r="156">
      <c r="A156" s="30"/>
      <c r="B156" s="30"/>
      <c r="C156" s="30"/>
      <c r="D156" s="30"/>
      <c r="E156" s="30"/>
      <c r="F156" s="38">
        <v>9900.0</v>
      </c>
      <c r="G156" s="28"/>
      <c r="H156" s="8">
        <f>F156/'dynamic numbers'!$H$1</f>
        <v>495</v>
      </c>
    </row>
    <row r="157">
      <c r="A157" s="33"/>
      <c r="B157" s="33"/>
      <c r="C157" s="33"/>
      <c r="D157" s="33"/>
      <c r="E157" s="33"/>
      <c r="F157" s="38">
        <v>9950.0</v>
      </c>
      <c r="G157" s="31"/>
      <c r="H157" s="8">
        <f>F157/'dynamic numbers'!$H$1</f>
        <v>497.5</v>
      </c>
    </row>
    <row r="158">
      <c r="A158" s="23">
        <f>1+A151</f>
        <v>25</v>
      </c>
      <c r="B158" s="26" t="s">
        <v>87</v>
      </c>
      <c r="C158" s="23">
        <f>D151+1</f>
        <v>10001</v>
      </c>
      <c r="D158" s="23">
        <f>IFERROR(__xludf.DUMMYFUNCTION("VALUE(REGEXEXTRACT(B158,""-(\d[\d,]*)""))"),10500.0)</f>
        <v>10500</v>
      </c>
      <c r="E158" s="23">
        <v>24.0</v>
      </c>
      <c r="F158" s="38">
        <v>10050.0</v>
      </c>
      <c r="G158" s="31"/>
      <c r="H158" s="8">
        <f>F158/'dynamic numbers'!$H$1</f>
        <v>502.5</v>
      </c>
    </row>
    <row r="159">
      <c r="A159" s="30"/>
      <c r="B159" s="30"/>
      <c r="C159" s="30"/>
      <c r="D159" s="30"/>
      <c r="E159" s="30"/>
      <c r="F159" s="38">
        <v>10100.0</v>
      </c>
      <c r="G159" s="28"/>
      <c r="H159" s="8">
        <f>F159/'dynamic numbers'!$H$1</f>
        <v>505</v>
      </c>
    </row>
    <row r="160">
      <c r="A160" s="30"/>
      <c r="B160" s="30"/>
      <c r="C160" s="30"/>
      <c r="D160" s="30"/>
      <c r="E160" s="30"/>
      <c r="F160" s="38">
        <v>10175.0</v>
      </c>
      <c r="G160" s="31"/>
      <c r="H160" s="8">
        <f>F160/'dynamic numbers'!$H$1</f>
        <v>508.75</v>
      </c>
    </row>
    <row r="161">
      <c r="A161" s="30"/>
      <c r="B161" s="30"/>
      <c r="C161" s="30"/>
      <c r="D161" s="30"/>
      <c r="E161" s="30"/>
      <c r="F161" s="38">
        <v>10250.0</v>
      </c>
      <c r="G161" s="28"/>
      <c r="H161" s="8">
        <f>F161/'dynamic numbers'!$H$1</f>
        <v>512.5</v>
      </c>
    </row>
    <row r="162">
      <c r="A162" s="30"/>
      <c r="B162" s="30"/>
      <c r="C162" s="30"/>
      <c r="D162" s="30"/>
      <c r="E162" s="30"/>
      <c r="F162" s="38">
        <v>10325.0</v>
      </c>
      <c r="G162" s="31"/>
      <c r="H162" s="8">
        <f>F162/'dynamic numbers'!$H$1</f>
        <v>516.25</v>
      </c>
    </row>
    <row r="163">
      <c r="A163" s="30"/>
      <c r="B163" s="30"/>
      <c r="C163" s="30"/>
      <c r="D163" s="30"/>
      <c r="E163" s="30"/>
      <c r="F163" s="38">
        <v>10400.0</v>
      </c>
      <c r="G163" s="28"/>
      <c r="H163" s="8">
        <f>F163/'dynamic numbers'!$H$1</f>
        <v>520</v>
      </c>
    </row>
    <row r="164">
      <c r="A164" s="33"/>
      <c r="B164" s="33"/>
      <c r="C164" s="33"/>
      <c r="D164" s="33"/>
      <c r="E164" s="33"/>
      <c r="F164" s="38">
        <v>10475.0</v>
      </c>
      <c r="G164" s="28"/>
      <c r="H164" s="8">
        <f>F164/'dynamic numbers'!$H$1</f>
        <v>523.75</v>
      </c>
    </row>
    <row r="165">
      <c r="A165" s="23">
        <f>1+A158</f>
        <v>26</v>
      </c>
      <c r="B165" s="26" t="s">
        <v>88</v>
      </c>
      <c r="C165" s="23">
        <f>D158+1</f>
        <v>10501</v>
      </c>
      <c r="D165" s="23">
        <f>IFERROR(__xludf.DUMMYFUNCTION("VALUE(REGEXEXTRACT(B165,""-(\d[\d,]*)""))"),11000.0)</f>
        <v>11000</v>
      </c>
      <c r="E165" s="23">
        <v>24.0</v>
      </c>
      <c r="F165" s="38">
        <v>10525.0</v>
      </c>
      <c r="G165" s="31"/>
      <c r="H165" s="8">
        <f>F165/'dynamic numbers'!$H$1</f>
        <v>526.25</v>
      </c>
    </row>
    <row r="166">
      <c r="A166" s="30"/>
      <c r="B166" s="30"/>
      <c r="C166" s="30"/>
      <c r="D166" s="30"/>
      <c r="E166" s="30"/>
      <c r="F166" s="38">
        <v>10600.0</v>
      </c>
      <c r="G166" s="28"/>
      <c r="H166" s="8">
        <f>F166/'dynamic numbers'!$H$1</f>
        <v>530</v>
      </c>
    </row>
    <row r="167">
      <c r="A167" s="30"/>
      <c r="B167" s="30"/>
      <c r="C167" s="30"/>
      <c r="D167" s="30"/>
      <c r="E167" s="30"/>
      <c r="F167" s="38">
        <v>16075.0</v>
      </c>
      <c r="G167" s="31"/>
      <c r="H167" s="8">
        <f>F167/'dynamic numbers'!$H$1</f>
        <v>803.75</v>
      </c>
    </row>
    <row r="168">
      <c r="A168" s="30"/>
      <c r="B168" s="30"/>
      <c r="C168" s="30"/>
      <c r="D168" s="30"/>
      <c r="E168" s="30"/>
      <c r="F168" s="38">
        <v>10750.0</v>
      </c>
      <c r="G168" s="28"/>
      <c r="H168" s="8">
        <f>F168/'dynamic numbers'!$H$1</f>
        <v>537.5</v>
      </c>
    </row>
    <row r="169">
      <c r="A169" s="30"/>
      <c r="B169" s="30"/>
      <c r="C169" s="30"/>
      <c r="D169" s="30"/>
      <c r="E169" s="30"/>
      <c r="F169" s="38">
        <v>10825.0</v>
      </c>
      <c r="G169" s="31"/>
      <c r="H169" s="8">
        <f>F169/'dynamic numbers'!$H$1</f>
        <v>541.25</v>
      </c>
    </row>
    <row r="170">
      <c r="A170" s="30"/>
      <c r="B170" s="30"/>
      <c r="C170" s="30"/>
      <c r="D170" s="30"/>
      <c r="E170" s="30"/>
      <c r="F170" s="38">
        <v>10900.0</v>
      </c>
      <c r="G170" s="28"/>
      <c r="H170" s="8">
        <f>F170/'dynamic numbers'!$H$1</f>
        <v>545</v>
      </c>
    </row>
    <row r="171">
      <c r="A171" s="33"/>
      <c r="B171" s="33"/>
      <c r="C171" s="33"/>
      <c r="D171" s="33"/>
      <c r="E171" s="33"/>
      <c r="F171" s="38">
        <v>10975.0</v>
      </c>
      <c r="G171" s="28"/>
      <c r="H171" s="8">
        <f>F171/'dynamic numbers'!$H$1</f>
        <v>548.75</v>
      </c>
    </row>
    <row r="172">
      <c r="A172" s="23">
        <f>1+A165</f>
        <v>27</v>
      </c>
      <c r="B172" s="26" t="s">
        <v>89</v>
      </c>
      <c r="C172" s="23">
        <f>D165+1</f>
        <v>11001</v>
      </c>
      <c r="D172" s="23">
        <f>IFERROR(__xludf.DUMMYFUNCTION("VALUE(REGEXEXTRACT(B172,""-(\d[\d,]*)""))"),11500.0)</f>
        <v>11500</v>
      </c>
      <c r="E172" s="23">
        <v>24.0</v>
      </c>
      <c r="F172" s="38">
        <v>11025.0</v>
      </c>
      <c r="G172" s="31"/>
      <c r="H172" s="8">
        <f>F172/'dynamic numbers'!$H$1</f>
        <v>551.25</v>
      </c>
    </row>
    <row r="173">
      <c r="A173" s="30"/>
      <c r="B173" s="30"/>
      <c r="C173" s="30"/>
      <c r="D173" s="30"/>
      <c r="E173" s="30"/>
      <c r="F173" s="38">
        <v>11100.0</v>
      </c>
      <c r="G173" s="28"/>
      <c r="H173" s="8">
        <f>F173/'dynamic numbers'!$H$1</f>
        <v>555</v>
      </c>
    </row>
    <row r="174">
      <c r="A174" s="30"/>
      <c r="B174" s="30"/>
      <c r="C174" s="30"/>
      <c r="D174" s="30"/>
      <c r="E174" s="30"/>
      <c r="F174" s="38">
        <v>11175.0</v>
      </c>
      <c r="G174" s="31"/>
      <c r="H174" s="8">
        <f>F174/'dynamic numbers'!$H$1</f>
        <v>558.75</v>
      </c>
    </row>
    <row r="175">
      <c r="A175" s="30"/>
      <c r="B175" s="30"/>
      <c r="C175" s="30"/>
      <c r="D175" s="30"/>
      <c r="E175" s="30"/>
      <c r="F175" s="38">
        <v>11250.0</v>
      </c>
      <c r="G175" s="28"/>
      <c r="H175" s="8">
        <f>F175/'dynamic numbers'!$H$1</f>
        <v>562.5</v>
      </c>
    </row>
    <row r="176">
      <c r="A176" s="30"/>
      <c r="B176" s="30"/>
      <c r="C176" s="30"/>
      <c r="D176" s="30"/>
      <c r="E176" s="30"/>
      <c r="F176" s="38">
        <v>11325.0</v>
      </c>
      <c r="G176" s="31"/>
      <c r="H176" s="8">
        <f>F176/'dynamic numbers'!$H$1</f>
        <v>566.25</v>
      </c>
    </row>
    <row r="177">
      <c r="A177" s="30"/>
      <c r="B177" s="30"/>
      <c r="C177" s="30"/>
      <c r="D177" s="30"/>
      <c r="E177" s="30"/>
      <c r="F177" s="38">
        <v>11400.0</v>
      </c>
      <c r="G177" s="28"/>
      <c r="H177" s="8">
        <f>F177/'dynamic numbers'!$H$1</f>
        <v>570</v>
      </c>
    </row>
    <row r="178">
      <c r="A178" s="33"/>
      <c r="B178" s="33"/>
      <c r="C178" s="33"/>
      <c r="D178" s="33"/>
      <c r="E178" s="33"/>
      <c r="F178" s="38">
        <v>11475.0</v>
      </c>
      <c r="G178" s="28"/>
      <c r="H178" s="8">
        <f>F178/'dynamic numbers'!$H$1</f>
        <v>573.75</v>
      </c>
    </row>
    <row r="179">
      <c r="A179" s="23">
        <f>1+A172</f>
        <v>28</v>
      </c>
      <c r="B179" s="26" t="s">
        <v>90</v>
      </c>
      <c r="C179" s="23">
        <f>D172+1</f>
        <v>11501</v>
      </c>
      <c r="D179" s="23">
        <f>IFERROR(__xludf.DUMMYFUNCTION("VALUE(REGEXEXTRACT(B179,""-(\d[\d,]*)""))"),12000.0)</f>
        <v>12000</v>
      </c>
      <c r="E179" s="23">
        <v>24.0</v>
      </c>
      <c r="F179" s="38">
        <v>11525.0</v>
      </c>
      <c r="G179" s="31"/>
      <c r="H179" s="8">
        <f>F179/'dynamic numbers'!$H$1</f>
        <v>576.25</v>
      </c>
    </row>
    <row r="180">
      <c r="A180" s="30"/>
      <c r="B180" s="30"/>
      <c r="C180" s="30"/>
      <c r="D180" s="30"/>
      <c r="E180" s="30"/>
      <c r="F180" s="38">
        <v>11600.0</v>
      </c>
      <c r="G180" s="28"/>
      <c r="H180" s="8">
        <f>F180/'dynamic numbers'!$H$1</f>
        <v>580</v>
      </c>
    </row>
    <row r="181">
      <c r="A181" s="30"/>
      <c r="B181" s="30"/>
      <c r="C181" s="30"/>
      <c r="D181" s="30"/>
      <c r="E181" s="30"/>
      <c r="F181" s="38">
        <v>11675.0</v>
      </c>
      <c r="G181" s="31"/>
      <c r="H181" s="8">
        <f>F181/'dynamic numbers'!$H$1</f>
        <v>583.75</v>
      </c>
    </row>
    <row r="182">
      <c r="A182" s="30"/>
      <c r="B182" s="30"/>
      <c r="C182" s="30"/>
      <c r="D182" s="30"/>
      <c r="E182" s="30"/>
      <c r="F182" s="38">
        <v>11750.0</v>
      </c>
      <c r="G182" s="28"/>
      <c r="H182" s="8">
        <f>F182/'dynamic numbers'!$H$1</f>
        <v>587.5</v>
      </c>
    </row>
    <row r="183">
      <c r="A183" s="30"/>
      <c r="B183" s="30"/>
      <c r="C183" s="30"/>
      <c r="D183" s="30"/>
      <c r="E183" s="30"/>
      <c r="F183" s="38">
        <v>11825.0</v>
      </c>
      <c r="G183" s="31"/>
      <c r="H183" s="8">
        <f>F183/'dynamic numbers'!$H$1</f>
        <v>591.25</v>
      </c>
    </row>
    <row r="184">
      <c r="A184" s="30"/>
      <c r="B184" s="30"/>
      <c r="C184" s="30"/>
      <c r="D184" s="30"/>
      <c r="E184" s="30"/>
      <c r="F184" s="38">
        <v>11900.0</v>
      </c>
      <c r="G184" s="28"/>
      <c r="H184" s="8">
        <f>F184/'dynamic numbers'!$H$1</f>
        <v>595</v>
      </c>
    </row>
    <row r="185">
      <c r="A185" s="33"/>
      <c r="B185" s="33"/>
      <c r="C185" s="33"/>
      <c r="D185" s="33"/>
      <c r="E185" s="33"/>
      <c r="F185" s="38">
        <v>11975.0</v>
      </c>
      <c r="G185" s="28"/>
      <c r="H185" s="8">
        <f>F185/'dynamic numbers'!$H$1</f>
        <v>598.75</v>
      </c>
    </row>
    <row r="186">
      <c r="A186" s="23">
        <f>1+A179</f>
        <v>29</v>
      </c>
      <c r="B186" s="26" t="s">
        <v>91</v>
      </c>
      <c r="C186" s="23">
        <f>D179+1</f>
        <v>12001</v>
      </c>
      <c r="D186" s="23">
        <f>IFERROR(__xludf.DUMMYFUNCTION("VALUE(REGEXEXTRACT(B186,""-(\d[\d,]*)""))"),12500.0)</f>
        <v>12500</v>
      </c>
      <c r="E186" s="23">
        <v>24.0</v>
      </c>
      <c r="F186" s="38">
        <v>12025.0</v>
      </c>
      <c r="G186" s="31"/>
      <c r="H186" s="8">
        <f>F186/'dynamic numbers'!$H$1</f>
        <v>601.25</v>
      </c>
    </row>
    <row r="187">
      <c r="A187" s="30"/>
      <c r="B187" s="30"/>
      <c r="C187" s="30"/>
      <c r="D187" s="30"/>
      <c r="E187" s="30"/>
      <c r="F187" s="38">
        <v>12100.0</v>
      </c>
      <c r="G187" s="28"/>
      <c r="H187" s="8">
        <f>F187/'dynamic numbers'!$H$1</f>
        <v>605</v>
      </c>
    </row>
    <row r="188">
      <c r="A188" s="30"/>
      <c r="B188" s="30"/>
      <c r="C188" s="30"/>
      <c r="D188" s="30"/>
      <c r="E188" s="30"/>
      <c r="F188" s="38">
        <v>12175.0</v>
      </c>
      <c r="G188" s="28"/>
      <c r="H188" s="8">
        <f>F188/'dynamic numbers'!$H$1</f>
        <v>608.75</v>
      </c>
    </row>
    <row r="189">
      <c r="A189" s="30"/>
      <c r="B189" s="30"/>
      <c r="C189" s="30"/>
      <c r="D189" s="30"/>
      <c r="E189" s="30"/>
      <c r="F189" s="38">
        <v>12250.0</v>
      </c>
      <c r="G189" s="28"/>
      <c r="H189" s="8">
        <f>F189/'dynamic numbers'!$H$1</f>
        <v>612.5</v>
      </c>
    </row>
    <row r="190">
      <c r="A190" s="30"/>
      <c r="B190" s="30"/>
      <c r="C190" s="30"/>
      <c r="D190" s="30"/>
      <c r="E190" s="30"/>
      <c r="F190" s="38">
        <v>12325.0</v>
      </c>
      <c r="G190" s="28"/>
      <c r="H190" s="8">
        <f>F190/'dynamic numbers'!$H$1</f>
        <v>616.25</v>
      </c>
    </row>
    <row r="191">
      <c r="A191" s="30"/>
      <c r="B191" s="30"/>
      <c r="C191" s="30"/>
      <c r="D191" s="30"/>
      <c r="E191" s="30"/>
      <c r="F191" s="38">
        <v>12400.0</v>
      </c>
      <c r="G191" s="28"/>
      <c r="H191" s="8">
        <f>F191/'dynamic numbers'!$H$1</f>
        <v>620</v>
      </c>
    </row>
    <row r="192">
      <c r="A192" s="33"/>
      <c r="B192" s="33"/>
      <c r="C192" s="33"/>
      <c r="D192" s="33"/>
      <c r="E192" s="33"/>
      <c r="F192" s="38">
        <v>12475.0</v>
      </c>
      <c r="G192" s="28"/>
      <c r="H192" s="8">
        <f>F192/'dynamic numbers'!$H$1</f>
        <v>623.75</v>
      </c>
    </row>
    <row r="193">
      <c r="A193" s="23">
        <f>1+A186</f>
        <v>30</v>
      </c>
      <c r="B193" s="26" t="s">
        <v>92</v>
      </c>
      <c r="C193" s="23">
        <f>D186+1</f>
        <v>12501</v>
      </c>
      <c r="D193" s="23">
        <f>IFERROR(__xludf.DUMMYFUNCTION("VALUE(REGEXEXTRACT(B193,""-(\d[\d,]*)""))"),13000.0)</f>
        <v>13000</v>
      </c>
      <c r="E193" s="23">
        <v>24.0</v>
      </c>
      <c r="F193" s="38">
        <v>12525.0</v>
      </c>
      <c r="G193" s="31"/>
      <c r="H193" s="8">
        <f>F193/'dynamic numbers'!$H$1</f>
        <v>626.25</v>
      </c>
    </row>
    <row r="194">
      <c r="A194" s="30"/>
      <c r="B194" s="30"/>
      <c r="C194" s="30"/>
      <c r="D194" s="30"/>
      <c r="E194" s="30"/>
      <c r="F194" s="38">
        <v>12600.0</v>
      </c>
      <c r="G194" s="28"/>
      <c r="H194" s="8">
        <f>F194/'dynamic numbers'!$H$1</f>
        <v>630</v>
      </c>
    </row>
    <row r="195">
      <c r="A195" s="30"/>
      <c r="B195" s="30"/>
      <c r="C195" s="30"/>
      <c r="D195" s="30"/>
      <c r="E195" s="30"/>
      <c r="F195" s="38">
        <v>12675.0</v>
      </c>
      <c r="G195" s="28"/>
      <c r="H195" s="8">
        <f>F195/'dynamic numbers'!$H$1</f>
        <v>633.75</v>
      </c>
    </row>
    <row r="196">
      <c r="A196" s="30"/>
      <c r="B196" s="30"/>
      <c r="C196" s="30"/>
      <c r="D196" s="30"/>
      <c r="E196" s="30"/>
      <c r="F196" s="38">
        <v>12750.0</v>
      </c>
      <c r="G196" s="28"/>
      <c r="H196" s="8">
        <f>F196/'dynamic numbers'!$H$1</f>
        <v>637.5</v>
      </c>
    </row>
    <row r="197">
      <c r="A197" s="30"/>
      <c r="B197" s="30"/>
      <c r="C197" s="30"/>
      <c r="D197" s="30"/>
      <c r="E197" s="30"/>
      <c r="F197" s="38">
        <v>12825.0</v>
      </c>
      <c r="G197" s="28"/>
      <c r="H197" s="8">
        <f>F197/'dynamic numbers'!$H$1</f>
        <v>641.25</v>
      </c>
    </row>
    <row r="198">
      <c r="A198" s="30"/>
      <c r="B198" s="30"/>
      <c r="C198" s="30"/>
      <c r="D198" s="30"/>
      <c r="E198" s="30"/>
      <c r="F198" s="38">
        <v>12900.0</v>
      </c>
      <c r="G198" s="31"/>
      <c r="H198" s="8">
        <f>F198/'dynamic numbers'!$H$1</f>
        <v>645</v>
      </c>
    </row>
    <row r="199">
      <c r="A199" s="33"/>
      <c r="B199" s="33"/>
      <c r="C199" s="33"/>
      <c r="D199" s="33"/>
      <c r="E199" s="33"/>
      <c r="F199" s="38">
        <v>12975.0</v>
      </c>
      <c r="G199" s="29"/>
      <c r="H199" s="8">
        <f>F199/'dynamic numbers'!$H$1</f>
        <v>648.75</v>
      </c>
    </row>
    <row r="200">
      <c r="A200" s="23">
        <f>1+A193</f>
        <v>31</v>
      </c>
      <c r="B200" s="26" t="s">
        <v>93</v>
      </c>
      <c r="C200" s="23">
        <f>D193+1</f>
        <v>13001</v>
      </c>
      <c r="D200" s="23">
        <f>IFERROR(__xludf.DUMMYFUNCTION("VALUE(REGEXEXTRACT(B200,""-(\d[\d,]*)""))"),13500.0)</f>
        <v>13500</v>
      </c>
      <c r="E200" s="23">
        <v>24.0</v>
      </c>
      <c r="F200" s="38">
        <v>13025.0</v>
      </c>
      <c r="G200" s="31"/>
      <c r="H200" s="8">
        <f>F200/'dynamic numbers'!$H$1</f>
        <v>651.25</v>
      </c>
    </row>
    <row r="201">
      <c r="A201" s="30"/>
      <c r="B201" s="30"/>
      <c r="C201" s="30"/>
      <c r="D201" s="30"/>
      <c r="E201" s="30"/>
      <c r="F201" s="38">
        <v>13100.0</v>
      </c>
      <c r="G201" s="28"/>
      <c r="H201" s="8">
        <f>F201/'dynamic numbers'!$H$1</f>
        <v>655</v>
      </c>
    </row>
    <row r="202">
      <c r="A202" s="30"/>
      <c r="B202" s="30"/>
      <c r="C202" s="30"/>
      <c r="D202" s="30"/>
      <c r="E202" s="30"/>
      <c r="F202" s="38">
        <v>13175.0</v>
      </c>
      <c r="G202" s="28"/>
      <c r="H202" s="8">
        <f>F202/'dynamic numbers'!$H$1</f>
        <v>658.75</v>
      </c>
    </row>
    <row r="203">
      <c r="A203" s="30"/>
      <c r="B203" s="30"/>
      <c r="C203" s="30"/>
      <c r="D203" s="30"/>
      <c r="E203" s="30"/>
      <c r="F203" s="38">
        <v>13250.0</v>
      </c>
      <c r="G203" s="28"/>
      <c r="H203" s="8">
        <f>F203/'dynamic numbers'!$H$1</f>
        <v>662.5</v>
      </c>
    </row>
    <row r="204">
      <c r="A204" s="30"/>
      <c r="B204" s="30"/>
      <c r="C204" s="30"/>
      <c r="D204" s="30"/>
      <c r="E204" s="30"/>
      <c r="F204" s="38">
        <v>13325.0</v>
      </c>
      <c r="G204" s="28"/>
      <c r="H204" s="8">
        <f>F204/'dynamic numbers'!$H$1</f>
        <v>666.25</v>
      </c>
    </row>
    <row r="205">
      <c r="A205" s="30"/>
      <c r="B205" s="30"/>
      <c r="C205" s="30"/>
      <c r="D205" s="30"/>
      <c r="E205" s="30"/>
      <c r="F205" s="38">
        <v>13400.0</v>
      </c>
      <c r="G205" s="28"/>
      <c r="H205" s="8">
        <f>F205/'dynamic numbers'!$H$1</f>
        <v>670</v>
      </c>
    </row>
    <row r="206">
      <c r="A206" s="33"/>
      <c r="B206" s="33"/>
      <c r="C206" s="33"/>
      <c r="D206" s="33"/>
      <c r="E206" s="33"/>
      <c r="F206" s="38">
        <v>13475.0</v>
      </c>
      <c r="G206" s="28"/>
      <c r="H206" s="8">
        <f>F206/'dynamic numbers'!$H$1</f>
        <v>673.75</v>
      </c>
    </row>
    <row r="207">
      <c r="A207" s="23">
        <f>1+A200</f>
        <v>32</v>
      </c>
      <c r="B207" s="26" t="s">
        <v>94</v>
      </c>
      <c r="C207" s="23">
        <f>D200+1</f>
        <v>13501</v>
      </c>
      <c r="D207" s="23">
        <f>IFERROR(__xludf.DUMMYFUNCTION("VALUE(REGEXEXTRACT(B207,""-(\d[\d,]*)""))"),14000.0)</f>
        <v>14000</v>
      </c>
      <c r="E207" s="23">
        <v>24.0</v>
      </c>
      <c r="F207" s="38">
        <v>13525.0</v>
      </c>
      <c r="G207" s="31"/>
      <c r="H207" s="8">
        <f>F207/'dynamic numbers'!$H$1</f>
        <v>676.25</v>
      </c>
    </row>
    <row r="208">
      <c r="A208" s="30"/>
      <c r="B208" s="30"/>
      <c r="C208" s="30"/>
      <c r="D208" s="30"/>
      <c r="E208" s="30"/>
      <c r="F208" s="38">
        <v>13600.0</v>
      </c>
      <c r="G208" s="28"/>
      <c r="H208" s="8">
        <f>F208/'dynamic numbers'!$H$1</f>
        <v>680</v>
      </c>
    </row>
    <row r="209">
      <c r="A209" s="30"/>
      <c r="B209" s="30"/>
      <c r="C209" s="30"/>
      <c r="D209" s="30"/>
      <c r="E209" s="30"/>
      <c r="F209" s="38">
        <v>13675.0</v>
      </c>
      <c r="G209" s="28"/>
      <c r="H209" s="8">
        <f>F209/'dynamic numbers'!$H$1</f>
        <v>683.75</v>
      </c>
    </row>
    <row r="210">
      <c r="A210" s="30"/>
      <c r="B210" s="30"/>
      <c r="C210" s="30"/>
      <c r="D210" s="30"/>
      <c r="E210" s="30"/>
      <c r="F210" s="38">
        <v>13750.0</v>
      </c>
      <c r="G210" s="28"/>
      <c r="H210" s="8">
        <f>F210/'dynamic numbers'!$H$1</f>
        <v>687.5</v>
      </c>
    </row>
    <row r="211">
      <c r="A211" s="30"/>
      <c r="B211" s="30"/>
      <c r="C211" s="30"/>
      <c r="D211" s="30"/>
      <c r="E211" s="30"/>
      <c r="F211" s="38">
        <v>13825.0</v>
      </c>
      <c r="G211" s="28"/>
      <c r="H211" s="8">
        <f>F211/'dynamic numbers'!$H$1</f>
        <v>691.25</v>
      </c>
    </row>
    <row r="212">
      <c r="A212" s="30"/>
      <c r="B212" s="30"/>
      <c r="C212" s="30"/>
      <c r="D212" s="30"/>
      <c r="E212" s="30"/>
      <c r="F212" s="38">
        <v>13900.0</v>
      </c>
      <c r="G212" s="28"/>
      <c r="H212" s="8">
        <f>F212/'dynamic numbers'!$H$1</f>
        <v>695</v>
      </c>
    </row>
    <row r="213">
      <c r="A213" s="33"/>
      <c r="B213" s="33"/>
      <c r="C213" s="33"/>
      <c r="D213" s="33"/>
      <c r="E213" s="33"/>
      <c r="F213" s="38">
        <v>13975.0</v>
      </c>
      <c r="G213" s="28"/>
      <c r="H213" s="8">
        <f>F213/'dynamic numbers'!$H$1</f>
        <v>698.75</v>
      </c>
    </row>
    <row r="214">
      <c r="C214" s="40"/>
      <c r="D214" s="41"/>
    </row>
    <row r="215">
      <c r="C215" s="40"/>
      <c r="D215" s="41"/>
    </row>
    <row r="216">
      <c r="C216" s="40"/>
      <c r="D216" s="41"/>
    </row>
    <row r="217">
      <c r="C217" s="40"/>
      <c r="D217" s="41"/>
    </row>
    <row r="218">
      <c r="C218" s="40"/>
      <c r="D218" s="41"/>
    </row>
    <row r="219">
      <c r="C219" s="40"/>
      <c r="D219" s="41"/>
    </row>
    <row r="220">
      <c r="C220" s="40"/>
      <c r="D220" s="41"/>
    </row>
    <row r="221">
      <c r="C221" s="40"/>
      <c r="D221" s="41"/>
    </row>
    <row r="222">
      <c r="C222" s="40"/>
      <c r="D222" s="41"/>
    </row>
    <row r="223">
      <c r="C223" s="40"/>
      <c r="D223" s="41"/>
    </row>
    <row r="224">
      <c r="C224" s="40"/>
      <c r="D224" s="41"/>
    </row>
    <row r="225">
      <c r="C225" s="40"/>
      <c r="D225" s="41"/>
    </row>
    <row r="226">
      <c r="C226" s="40"/>
      <c r="D226" s="41"/>
    </row>
    <row r="227">
      <c r="C227" s="40"/>
      <c r="D227" s="41"/>
    </row>
    <row r="228">
      <c r="C228" s="40"/>
      <c r="D228" s="41"/>
    </row>
    <row r="229">
      <c r="C229" s="40"/>
      <c r="D229" s="41"/>
    </row>
    <row r="230">
      <c r="C230" s="40"/>
      <c r="D230" s="41"/>
    </row>
    <row r="231">
      <c r="C231" s="40"/>
      <c r="D231" s="41"/>
    </row>
    <row r="232">
      <c r="C232" s="40"/>
      <c r="D232" s="41"/>
    </row>
    <row r="233">
      <c r="C233" s="42"/>
      <c r="D233" s="41"/>
    </row>
  </sheetData>
  <mergeCells count="160">
    <mergeCell ref="C7:C11"/>
    <mergeCell ref="D7:D11"/>
    <mergeCell ref="A2:A6"/>
    <mergeCell ref="B2:B6"/>
    <mergeCell ref="C2:C6"/>
    <mergeCell ref="D2:D6"/>
    <mergeCell ref="E2:E6"/>
    <mergeCell ref="B7:B11"/>
    <mergeCell ref="E7:E11"/>
    <mergeCell ref="A7:A11"/>
    <mergeCell ref="A12:A18"/>
    <mergeCell ref="B12:B18"/>
    <mergeCell ref="C12:C18"/>
    <mergeCell ref="D12:D18"/>
    <mergeCell ref="E12:E18"/>
    <mergeCell ref="A19:A23"/>
    <mergeCell ref="B19:B23"/>
    <mergeCell ref="C19:C23"/>
    <mergeCell ref="A24:A28"/>
    <mergeCell ref="B24:B28"/>
    <mergeCell ref="C24:C28"/>
    <mergeCell ref="B29:B35"/>
    <mergeCell ref="C29:C35"/>
    <mergeCell ref="D36:D40"/>
    <mergeCell ref="D41:D45"/>
    <mergeCell ref="D19:D23"/>
    <mergeCell ref="E19:E23"/>
    <mergeCell ref="D24:D28"/>
    <mergeCell ref="E24:E28"/>
    <mergeCell ref="D29:D35"/>
    <mergeCell ref="E29:E35"/>
    <mergeCell ref="E36:E40"/>
    <mergeCell ref="E41:E45"/>
    <mergeCell ref="A29:A35"/>
    <mergeCell ref="A36:A40"/>
    <mergeCell ref="B36:B40"/>
    <mergeCell ref="C36:C40"/>
    <mergeCell ref="A41:A45"/>
    <mergeCell ref="B41:B45"/>
    <mergeCell ref="C41:C45"/>
    <mergeCell ref="D95:D101"/>
    <mergeCell ref="E95:E101"/>
    <mergeCell ref="D102:D108"/>
    <mergeCell ref="E102:E108"/>
    <mergeCell ref="D109:D115"/>
    <mergeCell ref="E109:E115"/>
    <mergeCell ref="B95:B101"/>
    <mergeCell ref="C95:C101"/>
    <mergeCell ref="A102:A108"/>
    <mergeCell ref="B102:B108"/>
    <mergeCell ref="C102:C108"/>
    <mergeCell ref="B109:B115"/>
    <mergeCell ref="C109:C115"/>
    <mergeCell ref="D123:D129"/>
    <mergeCell ref="E123:E129"/>
    <mergeCell ref="A109:A115"/>
    <mergeCell ref="A116:A122"/>
    <mergeCell ref="B116:B122"/>
    <mergeCell ref="C116:C122"/>
    <mergeCell ref="D116:D122"/>
    <mergeCell ref="E116:E122"/>
    <mergeCell ref="A123:A129"/>
    <mergeCell ref="C53:C59"/>
    <mergeCell ref="D53:D59"/>
    <mergeCell ref="A46:A52"/>
    <mergeCell ref="B46:B52"/>
    <mergeCell ref="C46:C52"/>
    <mergeCell ref="D46:D52"/>
    <mergeCell ref="E46:E52"/>
    <mergeCell ref="B53:B59"/>
    <mergeCell ref="E53:E59"/>
    <mergeCell ref="D67:D73"/>
    <mergeCell ref="E67:E73"/>
    <mergeCell ref="D74:D80"/>
    <mergeCell ref="E74:E80"/>
    <mergeCell ref="D81:D87"/>
    <mergeCell ref="E81:E87"/>
    <mergeCell ref="A53:A59"/>
    <mergeCell ref="A60:A66"/>
    <mergeCell ref="B60:B66"/>
    <mergeCell ref="C60:C66"/>
    <mergeCell ref="D60:D66"/>
    <mergeCell ref="E60:E66"/>
    <mergeCell ref="A67:A73"/>
    <mergeCell ref="B67:B73"/>
    <mergeCell ref="C67:C73"/>
    <mergeCell ref="A74:A80"/>
    <mergeCell ref="B74:B80"/>
    <mergeCell ref="C74:C80"/>
    <mergeCell ref="B81:B87"/>
    <mergeCell ref="C81:C87"/>
    <mergeCell ref="A81:A87"/>
    <mergeCell ref="A88:A94"/>
    <mergeCell ref="B88:B94"/>
    <mergeCell ref="C88:C94"/>
    <mergeCell ref="D88:D94"/>
    <mergeCell ref="E88:E94"/>
    <mergeCell ref="A95:A101"/>
    <mergeCell ref="B123:B129"/>
    <mergeCell ref="C123:C129"/>
    <mergeCell ref="A130:A136"/>
    <mergeCell ref="B130:B136"/>
    <mergeCell ref="C130:C136"/>
    <mergeCell ref="D130:D136"/>
    <mergeCell ref="E130:E136"/>
    <mergeCell ref="D186:D192"/>
    <mergeCell ref="E186:E192"/>
    <mergeCell ref="D193:D199"/>
    <mergeCell ref="E193:E199"/>
    <mergeCell ref="D200:D206"/>
    <mergeCell ref="E200:E206"/>
    <mergeCell ref="B186:B192"/>
    <mergeCell ref="C186:C192"/>
    <mergeCell ref="A193:A199"/>
    <mergeCell ref="B193:B199"/>
    <mergeCell ref="C193:C199"/>
    <mergeCell ref="B200:B206"/>
    <mergeCell ref="C200:C206"/>
    <mergeCell ref="C144:C150"/>
    <mergeCell ref="D144:D150"/>
    <mergeCell ref="A137:A143"/>
    <mergeCell ref="B137:B143"/>
    <mergeCell ref="C137:C143"/>
    <mergeCell ref="D137:D143"/>
    <mergeCell ref="E137:E143"/>
    <mergeCell ref="B144:B150"/>
    <mergeCell ref="E144:E150"/>
    <mergeCell ref="D158:D164"/>
    <mergeCell ref="E158:E164"/>
    <mergeCell ref="D165:D171"/>
    <mergeCell ref="E165:E171"/>
    <mergeCell ref="D172:D178"/>
    <mergeCell ref="E172:E178"/>
    <mergeCell ref="A144:A150"/>
    <mergeCell ref="A151:A157"/>
    <mergeCell ref="B151:B157"/>
    <mergeCell ref="C151:C157"/>
    <mergeCell ref="D151:D157"/>
    <mergeCell ref="E151:E157"/>
    <mergeCell ref="A158:A164"/>
    <mergeCell ref="B158:B164"/>
    <mergeCell ref="C158:C164"/>
    <mergeCell ref="A165:A171"/>
    <mergeCell ref="B165:B171"/>
    <mergeCell ref="C165:C171"/>
    <mergeCell ref="B172:B178"/>
    <mergeCell ref="C172:C178"/>
    <mergeCell ref="A172:A178"/>
    <mergeCell ref="A179:A185"/>
    <mergeCell ref="B179:B185"/>
    <mergeCell ref="C179:C185"/>
    <mergeCell ref="D179:D185"/>
    <mergeCell ref="E179:E185"/>
    <mergeCell ref="A186:A192"/>
    <mergeCell ref="A200:A206"/>
    <mergeCell ref="A207:A213"/>
    <mergeCell ref="B207:B213"/>
    <mergeCell ref="C207:C213"/>
    <mergeCell ref="D207:D213"/>
    <mergeCell ref="E207:E213"/>
  </mergeCells>
  <hyperlinks>
    <hyperlink r:id="rId1" ref="E1"/>
    <hyperlink r:id="rId2" ref="F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hidden="1" min="2" max="3" width="12.63"/>
    <col customWidth="1" hidden="1" min="4" max="4" width="14.13"/>
    <col customWidth="1" min="6" max="6" width="19.25"/>
    <col customWidth="1" min="7" max="12" width="23.5"/>
    <col customWidth="1" min="13" max="13" width="24.63"/>
    <col customWidth="1" min="14" max="14" width="18.5"/>
    <col customWidth="1" min="15" max="15" width="20.63"/>
  </cols>
  <sheetData>
    <row r="1">
      <c r="A1" s="2" t="s">
        <v>1</v>
      </c>
      <c r="B1" s="3" t="s">
        <v>9</v>
      </c>
      <c r="C1" s="3" t="s">
        <v>10</v>
      </c>
      <c r="D1" s="3" t="s">
        <v>11</v>
      </c>
      <c r="E1" s="5" t="s">
        <v>12</v>
      </c>
      <c r="F1" s="6" t="s">
        <v>17</v>
      </c>
      <c r="G1" s="9" t="s">
        <v>18</v>
      </c>
      <c r="H1" s="6" t="s">
        <v>17</v>
      </c>
      <c r="I1" s="9" t="s">
        <v>18</v>
      </c>
      <c r="J1" s="6" t="s">
        <v>17</v>
      </c>
      <c r="K1" s="9" t="s">
        <v>18</v>
      </c>
      <c r="L1" s="11" t="s">
        <v>24</v>
      </c>
      <c r="M1" s="11" t="s">
        <v>28</v>
      </c>
      <c r="N1" s="11" t="s">
        <v>29</v>
      </c>
      <c r="O1" s="11" t="s">
        <v>31</v>
      </c>
    </row>
    <row r="2">
      <c r="A2" s="12" t="s">
        <v>3</v>
      </c>
      <c r="B2" s="14"/>
      <c r="C2" s="14"/>
      <c r="D2" s="15"/>
      <c r="E2" s="16">
        <v>0.0</v>
      </c>
      <c r="F2" s="19"/>
      <c r="G2" s="20"/>
      <c r="H2" s="21"/>
      <c r="I2" s="22"/>
      <c r="J2" s="21"/>
      <c r="K2" s="22"/>
      <c r="L2" s="21"/>
      <c r="M2" s="24"/>
      <c r="N2" s="25"/>
      <c r="O2" s="27"/>
    </row>
    <row r="3">
      <c r="A3" s="12" t="s">
        <v>3</v>
      </c>
      <c r="B3" s="14">
        <f t="shared" ref="B3:B27" si="1">MINIFS(E$3:E$27, D$3:D$27, D3)</f>
        <v>10</v>
      </c>
      <c r="C3" s="14">
        <f t="shared" ref="C3:C27" si="2">MAXIFS(E$3:E$27, D$3:D$27, D3)</f>
        <v>100</v>
      </c>
      <c r="D3" s="15">
        <v>1.0</v>
      </c>
      <c r="E3" s="16">
        <v>10.0</v>
      </c>
      <c r="F3" s="19" t="s">
        <v>34</v>
      </c>
      <c r="G3" s="20">
        <v>50.0</v>
      </c>
      <c r="H3" s="21"/>
      <c r="I3" s="22"/>
      <c r="J3" s="21"/>
      <c r="K3" s="22"/>
      <c r="L3" s="21">
        <f>M3</f>
        <v>0.5</v>
      </c>
      <c r="M3" s="24">
        <f>E3/'dynamic numbers'!$H$1</f>
        <v>0.5</v>
      </c>
      <c r="N3" s="25">
        <f>ROUNDUP(M3*'dynamic numbers'!$J$2,0)</f>
        <v>1</v>
      </c>
      <c r="O3" s="27">
        <f t="shared" ref="O3:O27" si="3">N3*1.3</f>
        <v>1.3</v>
      </c>
    </row>
    <row r="4">
      <c r="A4" s="32" t="s">
        <v>3</v>
      </c>
      <c r="B4" s="32">
        <f t="shared" si="1"/>
        <v>10</v>
      </c>
      <c r="C4" s="32">
        <f t="shared" si="2"/>
        <v>100</v>
      </c>
      <c r="D4" s="15">
        <v>1.0</v>
      </c>
      <c r="E4" s="16">
        <v>25.0</v>
      </c>
      <c r="F4" s="19" t="s">
        <v>36</v>
      </c>
      <c r="G4" s="20">
        <v>5.0</v>
      </c>
      <c r="H4" s="21"/>
      <c r="I4" s="22"/>
      <c r="J4" s="21"/>
      <c r="K4" s="22"/>
      <c r="L4" s="21">
        <f t="shared" ref="L4:L27" si="4">M4-M3</f>
        <v>0.75</v>
      </c>
      <c r="M4" s="24">
        <f>E4/'dynamic numbers'!$H$1</f>
        <v>1.25</v>
      </c>
      <c r="N4" s="25">
        <f>ROUNDUP(M4*'dynamic numbers'!$J$2,0)</f>
        <v>1</v>
      </c>
      <c r="O4" s="27">
        <f t="shared" si="3"/>
        <v>1.3</v>
      </c>
    </row>
    <row r="5">
      <c r="A5" s="32" t="s">
        <v>3</v>
      </c>
      <c r="B5" s="32">
        <f t="shared" si="1"/>
        <v>10</v>
      </c>
      <c r="C5" s="32">
        <f t="shared" si="2"/>
        <v>100</v>
      </c>
      <c r="D5" s="15">
        <v>1.0</v>
      </c>
      <c r="E5" s="16">
        <v>50.0</v>
      </c>
      <c r="F5" s="19" t="s">
        <v>34</v>
      </c>
      <c r="G5" s="20">
        <v>75.0</v>
      </c>
      <c r="H5" s="21"/>
      <c r="I5" s="22"/>
      <c r="J5" s="21"/>
      <c r="K5" s="22"/>
      <c r="L5" s="21">
        <f t="shared" si="4"/>
        <v>1.25</v>
      </c>
      <c r="M5" s="24">
        <f>E5/'dynamic numbers'!$H$1</f>
        <v>2.5</v>
      </c>
      <c r="N5" s="25">
        <f>ROUNDUP(M5*'dynamic numbers'!$J$2,0)</f>
        <v>2</v>
      </c>
      <c r="O5" s="27">
        <f t="shared" si="3"/>
        <v>2.6</v>
      </c>
    </row>
    <row r="6">
      <c r="A6" s="32" t="s">
        <v>3</v>
      </c>
      <c r="B6" s="32">
        <f t="shared" si="1"/>
        <v>10</v>
      </c>
      <c r="C6" s="32">
        <f t="shared" si="2"/>
        <v>100</v>
      </c>
      <c r="D6" s="15">
        <v>1.0</v>
      </c>
      <c r="E6" s="16">
        <v>75.0</v>
      </c>
      <c r="F6" s="19" t="s">
        <v>36</v>
      </c>
      <c r="G6" s="20">
        <v>10.0</v>
      </c>
      <c r="H6" s="21"/>
      <c r="I6" s="22"/>
      <c r="J6" s="21"/>
      <c r="K6" s="22"/>
      <c r="L6" s="21">
        <f t="shared" si="4"/>
        <v>1.25</v>
      </c>
      <c r="M6" s="24">
        <f>E6/'dynamic numbers'!$H$1</f>
        <v>3.75</v>
      </c>
      <c r="N6" s="25">
        <f>ROUNDUP(M6*'dynamic numbers'!$J$2,0)</f>
        <v>2</v>
      </c>
      <c r="O6" s="27">
        <f t="shared" si="3"/>
        <v>2.6</v>
      </c>
    </row>
    <row r="7">
      <c r="A7" s="36" t="s">
        <v>3</v>
      </c>
      <c r="B7" s="36">
        <f t="shared" si="1"/>
        <v>10</v>
      </c>
      <c r="C7" s="36">
        <f t="shared" si="2"/>
        <v>100</v>
      </c>
      <c r="D7" s="15">
        <v>1.0</v>
      </c>
      <c r="E7" s="16">
        <v>100.0</v>
      </c>
      <c r="F7" s="19" t="s">
        <v>34</v>
      </c>
      <c r="G7" s="20">
        <v>100.0</v>
      </c>
      <c r="H7" s="21"/>
      <c r="I7" s="22"/>
      <c r="J7" s="21"/>
      <c r="K7" s="22"/>
      <c r="L7" s="21">
        <f t="shared" si="4"/>
        <v>1.25</v>
      </c>
      <c r="M7" s="24">
        <f>E7/'dynamic numbers'!$H$1</f>
        <v>5</v>
      </c>
      <c r="N7" s="25">
        <f>ROUNDUP(M7*'dynamic numbers'!$J$2,0)</f>
        <v>3</v>
      </c>
      <c r="O7" s="27">
        <f t="shared" si="3"/>
        <v>3.9</v>
      </c>
    </row>
    <row r="8">
      <c r="A8" s="12" t="s">
        <v>5</v>
      </c>
      <c r="B8" s="14">
        <f t="shared" si="1"/>
        <v>250</v>
      </c>
      <c r="C8" s="14">
        <f t="shared" si="2"/>
        <v>750</v>
      </c>
      <c r="D8" s="15">
        <v>2.0</v>
      </c>
      <c r="E8" s="16">
        <v>250.0</v>
      </c>
      <c r="F8" s="19" t="s">
        <v>38</v>
      </c>
      <c r="G8" s="22"/>
      <c r="H8" s="19" t="s">
        <v>43</v>
      </c>
      <c r="I8" s="22"/>
      <c r="J8" s="21"/>
      <c r="K8" s="22"/>
      <c r="L8" s="21">
        <f t="shared" si="4"/>
        <v>7.5</v>
      </c>
      <c r="M8" s="24">
        <f>E8/'dynamic numbers'!$H$1</f>
        <v>12.5</v>
      </c>
      <c r="N8" s="25">
        <f>ROUNDUP(M8*'dynamic numbers'!$J$2,0)</f>
        <v>7</v>
      </c>
      <c r="O8" s="27">
        <f t="shared" si="3"/>
        <v>9.1</v>
      </c>
    </row>
    <row r="9">
      <c r="A9" s="32" t="s">
        <v>5</v>
      </c>
      <c r="B9" s="32">
        <f t="shared" si="1"/>
        <v>250</v>
      </c>
      <c r="C9" s="32">
        <f t="shared" si="2"/>
        <v>750</v>
      </c>
      <c r="D9" s="15">
        <v>2.0</v>
      </c>
      <c r="E9" s="16">
        <v>350.0</v>
      </c>
      <c r="F9" s="19" t="s">
        <v>34</v>
      </c>
      <c r="G9" s="20">
        <v>125.0</v>
      </c>
      <c r="H9" s="21"/>
      <c r="I9" s="22"/>
      <c r="J9" s="21"/>
      <c r="K9" s="22"/>
      <c r="L9" s="21">
        <f t="shared" si="4"/>
        <v>5</v>
      </c>
      <c r="M9" s="24">
        <f>E9/'dynamic numbers'!$H$1</f>
        <v>17.5</v>
      </c>
      <c r="N9" s="25">
        <f>ROUNDUP(M9*'dynamic numbers'!$J$2,0)</f>
        <v>9</v>
      </c>
      <c r="O9" s="27">
        <f t="shared" si="3"/>
        <v>11.7</v>
      </c>
    </row>
    <row r="10">
      <c r="A10" s="32" t="s">
        <v>5</v>
      </c>
      <c r="B10" s="32">
        <f t="shared" si="1"/>
        <v>250</v>
      </c>
      <c r="C10" s="32">
        <f t="shared" si="2"/>
        <v>750</v>
      </c>
      <c r="D10" s="15">
        <v>2.0</v>
      </c>
      <c r="E10" s="16">
        <v>500.0</v>
      </c>
      <c r="F10" s="19" t="s">
        <v>36</v>
      </c>
      <c r="G10" s="20">
        <v>15.0</v>
      </c>
      <c r="H10" s="21"/>
      <c r="I10" s="22"/>
      <c r="J10" s="21"/>
      <c r="K10" s="22"/>
      <c r="L10" s="21">
        <f t="shared" si="4"/>
        <v>7.5</v>
      </c>
      <c r="M10" s="24">
        <f>E10/'dynamic numbers'!$H$1</f>
        <v>25</v>
      </c>
      <c r="N10" s="25">
        <f>ROUNDUP(M10*'dynamic numbers'!$J$2,0)</f>
        <v>13</v>
      </c>
      <c r="O10" s="27">
        <f t="shared" si="3"/>
        <v>16.9</v>
      </c>
    </row>
    <row r="11">
      <c r="A11" s="32" t="s">
        <v>5</v>
      </c>
      <c r="B11" s="32">
        <f t="shared" si="1"/>
        <v>250</v>
      </c>
      <c r="C11" s="32">
        <f t="shared" si="2"/>
        <v>750</v>
      </c>
      <c r="D11" s="15">
        <v>2.0</v>
      </c>
      <c r="E11" s="16">
        <v>550.0</v>
      </c>
      <c r="F11" s="19" t="s">
        <v>34</v>
      </c>
      <c r="G11" s="20">
        <v>150.0</v>
      </c>
      <c r="H11" s="21"/>
      <c r="I11" s="22"/>
      <c r="J11" s="21"/>
      <c r="K11" s="22"/>
      <c r="L11" s="21">
        <f t="shared" si="4"/>
        <v>2.5</v>
      </c>
      <c r="M11" s="24">
        <f>E11/'dynamic numbers'!$H$1</f>
        <v>27.5</v>
      </c>
      <c r="N11" s="25">
        <f>ROUNDUP(M11*'dynamic numbers'!$J$2,0)</f>
        <v>14</v>
      </c>
      <c r="O11" s="27">
        <f t="shared" si="3"/>
        <v>18.2</v>
      </c>
    </row>
    <row r="12">
      <c r="A12" s="32" t="s">
        <v>5</v>
      </c>
      <c r="B12" s="32">
        <f t="shared" si="1"/>
        <v>250</v>
      </c>
      <c r="C12" s="32">
        <f t="shared" si="2"/>
        <v>750</v>
      </c>
      <c r="D12" s="15">
        <v>2.0</v>
      </c>
      <c r="E12" s="16">
        <v>600.0</v>
      </c>
      <c r="F12" s="19" t="s">
        <v>36</v>
      </c>
      <c r="G12" s="20">
        <v>20.0</v>
      </c>
      <c r="H12" s="21"/>
      <c r="I12" s="22"/>
      <c r="J12" s="21"/>
      <c r="K12" s="22"/>
      <c r="L12" s="21">
        <f t="shared" si="4"/>
        <v>2.5</v>
      </c>
      <c r="M12" s="24">
        <f>E12/'dynamic numbers'!$H$1</f>
        <v>30</v>
      </c>
      <c r="N12" s="25">
        <f>ROUNDUP(M12*'dynamic numbers'!$J$2,0)</f>
        <v>15</v>
      </c>
      <c r="O12" s="27">
        <f t="shared" si="3"/>
        <v>19.5</v>
      </c>
    </row>
    <row r="13">
      <c r="A13" s="32" t="s">
        <v>5</v>
      </c>
      <c r="B13" s="32">
        <f t="shared" si="1"/>
        <v>250</v>
      </c>
      <c r="C13" s="32">
        <f t="shared" si="2"/>
        <v>750</v>
      </c>
      <c r="D13" s="15">
        <v>2.0</v>
      </c>
      <c r="E13" s="16">
        <v>700.0</v>
      </c>
      <c r="F13" s="19" t="s">
        <v>34</v>
      </c>
      <c r="G13" s="20">
        <v>175.0</v>
      </c>
      <c r="H13" s="21"/>
      <c r="I13" s="22"/>
      <c r="J13" s="21"/>
      <c r="K13" s="22"/>
      <c r="L13" s="21">
        <f t="shared" si="4"/>
        <v>5</v>
      </c>
      <c r="M13" s="24">
        <f>E13/'dynamic numbers'!$H$1</f>
        <v>35</v>
      </c>
      <c r="N13" s="25">
        <f>ROUNDUP(M13*'dynamic numbers'!$J$2,0)</f>
        <v>18</v>
      </c>
      <c r="O13" s="27">
        <f t="shared" si="3"/>
        <v>23.4</v>
      </c>
    </row>
    <row r="14">
      <c r="A14" s="36" t="s">
        <v>5</v>
      </c>
      <c r="B14" s="36">
        <f t="shared" si="1"/>
        <v>250</v>
      </c>
      <c r="C14" s="36">
        <f t="shared" si="2"/>
        <v>750</v>
      </c>
      <c r="D14" s="15">
        <v>2.0</v>
      </c>
      <c r="E14" s="16">
        <v>750.0</v>
      </c>
      <c r="F14" s="19" t="s">
        <v>36</v>
      </c>
      <c r="G14" s="20">
        <v>25.0</v>
      </c>
      <c r="H14" s="21"/>
      <c r="I14" s="22"/>
      <c r="J14" s="21"/>
      <c r="K14" s="22"/>
      <c r="L14" s="21">
        <f t="shared" si="4"/>
        <v>2.5</v>
      </c>
      <c r="M14" s="24">
        <f>E14/'dynamic numbers'!$H$1</f>
        <v>37.5</v>
      </c>
      <c r="N14" s="25">
        <f>ROUNDUP(M14*'dynamic numbers'!$J$2,0)</f>
        <v>19</v>
      </c>
      <c r="O14" s="27">
        <f t="shared" si="3"/>
        <v>24.7</v>
      </c>
    </row>
    <row r="15">
      <c r="A15" s="12" t="s">
        <v>7</v>
      </c>
      <c r="B15" s="14">
        <f t="shared" si="1"/>
        <v>1500</v>
      </c>
      <c r="C15" s="14">
        <f t="shared" si="2"/>
        <v>3500</v>
      </c>
      <c r="D15" s="15">
        <v>3.0</v>
      </c>
      <c r="E15" s="16">
        <v>1500.0</v>
      </c>
      <c r="F15" s="19" t="s">
        <v>40</v>
      </c>
      <c r="G15" s="22"/>
      <c r="H15" s="19" t="s">
        <v>47</v>
      </c>
      <c r="I15" s="22"/>
      <c r="J15" s="21"/>
      <c r="K15" s="22"/>
      <c r="L15" s="21">
        <f t="shared" si="4"/>
        <v>37.5</v>
      </c>
      <c r="M15" s="24">
        <f>E15/'dynamic numbers'!$H$1</f>
        <v>75</v>
      </c>
      <c r="N15" s="25">
        <f>ROUNDUP(M15*'dynamic numbers'!$J$2,0)</f>
        <v>38</v>
      </c>
      <c r="O15" s="27">
        <f t="shared" si="3"/>
        <v>49.4</v>
      </c>
    </row>
    <row r="16">
      <c r="A16" s="32" t="s">
        <v>7</v>
      </c>
      <c r="B16" s="32">
        <f t="shared" si="1"/>
        <v>1500</v>
      </c>
      <c r="C16" s="32">
        <f t="shared" si="2"/>
        <v>3500</v>
      </c>
      <c r="D16" s="15">
        <v>3.0</v>
      </c>
      <c r="E16" s="16">
        <v>1600.0</v>
      </c>
      <c r="F16" s="19" t="s">
        <v>34</v>
      </c>
      <c r="G16" s="20">
        <v>200.0</v>
      </c>
      <c r="H16" s="21"/>
      <c r="I16" s="22"/>
      <c r="J16" s="21"/>
      <c r="K16" s="22"/>
      <c r="L16" s="21">
        <f t="shared" si="4"/>
        <v>5</v>
      </c>
      <c r="M16" s="24">
        <f>E16/'dynamic numbers'!$H$1</f>
        <v>80</v>
      </c>
      <c r="N16" s="25">
        <f>ROUNDUP(M16*'dynamic numbers'!$J$2,0)</f>
        <v>40</v>
      </c>
      <c r="O16" s="27">
        <f t="shared" si="3"/>
        <v>52</v>
      </c>
    </row>
    <row r="17">
      <c r="A17" s="32" t="s">
        <v>7</v>
      </c>
      <c r="B17" s="32">
        <f t="shared" si="1"/>
        <v>1500</v>
      </c>
      <c r="C17" s="32">
        <f t="shared" si="2"/>
        <v>3500</v>
      </c>
      <c r="D17" s="15">
        <v>3.0</v>
      </c>
      <c r="E17" s="16">
        <v>1750.0</v>
      </c>
      <c r="F17" s="19" t="s">
        <v>36</v>
      </c>
      <c r="G17" s="20">
        <v>30.0</v>
      </c>
      <c r="H17" s="21"/>
      <c r="I17" s="22"/>
      <c r="J17" s="21"/>
      <c r="K17" s="22"/>
      <c r="L17" s="21">
        <f t="shared" si="4"/>
        <v>7.5</v>
      </c>
      <c r="M17" s="24">
        <f>E17/'dynamic numbers'!$H$1</f>
        <v>87.5</v>
      </c>
      <c r="N17" s="25">
        <f>ROUNDUP(M17*'dynamic numbers'!$J$2,0)</f>
        <v>44</v>
      </c>
      <c r="O17" s="27">
        <f t="shared" si="3"/>
        <v>57.2</v>
      </c>
    </row>
    <row r="18">
      <c r="A18" s="32" t="s">
        <v>7</v>
      </c>
      <c r="B18" s="32">
        <f t="shared" si="1"/>
        <v>1500</v>
      </c>
      <c r="C18" s="32">
        <f t="shared" si="2"/>
        <v>3500</v>
      </c>
      <c r="D18" s="15">
        <v>3.0</v>
      </c>
      <c r="E18" s="16">
        <v>1900.0</v>
      </c>
      <c r="F18" s="19" t="s">
        <v>34</v>
      </c>
      <c r="G18" s="20">
        <v>225.0</v>
      </c>
      <c r="H18" s="21"/>
      <c r="I18" s="22"/>
      <c r="J18" s="21"/>
      <c r="K18" s="22"/>
      <c r="L18" s="21">
        <f t="shared" si="4"/>
        <v>7.5</v>
      </c>
      <c r="M18" s="24">
        <f>E18/'dynamic numbers'!$H$1</f>
        <v>95</v>
      </c>
      <c r="N18" s="25">
        <f>ROUNDUP(M18*'dynamic numbers'!$J$2,0)</f>
        <v>48</v>
      </c>
      <c r="O18" s="27">
        <f t="shared" si="3"/>
        <v>62.4</v>
      </c>
    </row>
    <row r="19">
      <c r="A19" s="32" t="s">
        <v>7</v>
      </c>
      <c r="B19" s="32">
        <f t="shared" si="1"/>
        <v>1500</v>
      </c>
      <c r="C19" s="32">
        <f t="shared" si="2"/>
        <v>3500</v>
      </c>
      <c r="D19" s="15">
        <v>3.0</v>
      </c>
      <c r="E19" s="16">
        <v>2000.0</v>
      </c>
      <c r="F19" s="19" t="s">
        <v>36</v>
      </c>
      <c r="G19" s="20">
        <v>35.0</v>
      </c>
      <c r="H19" s="21"/>
      <c r="I19" s="22"/>
      <c r="J19" s="21"/>
      <c r="K19" s="22"/>
      <c r="L19" s="21">
        <f t="shared" si="4"/>
        <v>5</v>
      </c>
      <c r="M19" s="24">
        <f>E19/'dynamic numbers'!$H$1</f>
        <v>100</v>
      </c>
      <c r="N19" s="25">
        <f>ROUNDUP(M19*'dynamic numbers'!$J$2,0)</f>
        <v>50</v>
      </c>
      <c r="O19" s="27">
        <f t="shared" si="3"/>
        <v>65</v>
      </c>
    </row>
    <row r="20">
      <c r="A20" s="32" t="s">
        <v>7</v>
      </c>
      <c r="B20" s="32">
        <f t="shared" si="1"/>
        <v>1500</v>
      </c>
      <c r="C20" s="32">
        <f t="shared" si="2"/>
        <v>3500</v>
      </c>
      <c r="D20" s="15">
        <v>3.0</v>
      </c>
      <c r="E20" s="16">
        <v>2250.0</v>
      </c>
      <c r="F20" s="19" t="s">
        <v>34</v>
      </c>
      <c r="G20" s="20">
        <v>250.0</v>
      </c>
      <c r="H20" s="21"/>
      <c r="I20" s="22"/>
      <c r="J20" s="21"/>
      <c r="K20" s="22"/>
      <c r="L20" s="21">
        <f t="shared" si="4"/>
        <v>12.5</v>
      </c>
      <c r="M20" s="24">
        <f>E20/'dynamic numbers'!$H$1</f>
        <v>112.5</v>
      </c>
      <c r="N20" s="25">
        <f>ROUNDUP(M20*'dynamic numbers'!$J$2,0)</f>
        <v>57</v>
      </c>
      <c r="O20" s="27">
        <f t="shared" si="3"/>
        <v>74.1</v>
      </c>
    </row>
    <row r="21">
      <c r="A21" s="32" t="s">
        <v>7</v>
      </c>
      <c r="B21" s="32">
        <f t="shared" si="1"/>
        <v>1500</v>
      </c>
      <c r="C21" s="32">
        <f t="shared" si="2"/>
        <v>3500</v>
      </c>
      <c r="D21" s="15">
        <v>3.0</v>
      </c>
      <c r="E21" s="16">
        <v>2500.0</v>
      </c>
      <c r="F21" s="19" t="s">
        <v>36</v>
      </c>
      <c r="G21" s="20">
        <v>40.0</v>
      </c>
      <c r="H21" s="21"/>
      <c r="I21" s="22"/>
      <c r="J21" s="21"/>
      <c r="K21" s="22"/>
      <c r="L21" s="21">
        <f t="shared" si="4"/>
        <v>12.5</v>
      </c>
      <c r="M21" s="24">
        <f>E21/'dynamic numbers'!$H$1</f>
        <v>125</v>
      </c>
      <c r="N21" s="25">
        <f>ROUNDUP(M21*'dynamic numbers'!$J$2,0)</f>
        <v>63</v>
      </c>
      <c r="O21" s="27">
        <f t="shared" si="3"/>
        <v>81.9</v>
      </c>
    </row>
    <row r="22">
      <c r="A22" s="32" t="s">
        <v>7</v>
      </c>
      <c r="B22" s="32">
        <f t="shared" si="1"/>
        <v>1500</v>
      </c>
      <c r="C22" s="32">
        <f t="shared" si="2"/>
        <v>3500</v>
      </c>
      <c r="D22" s="15">
        <v>3.0</v>
      </c>
      <c r="E22" s="16">
        <v>2600.0</v>
      </c>
      <c r="F22" s="19" t="s">
        <v>34</v>
      </c>
      <c r="G22" s="20">
        <v>350.0</v>
      </c>
      <c r="H22" s="21"/>
      <c r="I22" s="22"/>
      <c r="J22" s="21"/>
      <c r="K22" s="22"/>
      <c r="L22" s="21">
        <f t="shared" si="4"/>
        <v>5</v>
      </c>
      <c r="M22" s="24">
        <f>E22/'dynamic numbers'!$H$1</f>
        <v>130</v>
      </c>
      <c r="N22" s="25">
        <f>ROUNDUP(M22*'dynamic numbers'!$J$2,0)</f>
        <v>65</v>
      </c>
      <c r="O22" s="27">
        <f t="shared" si="3"/>
        <v>84.5</v>
      </c>
    </row>
    <row r="23">
      <c r="A23" s="32" t="s">
        <v>7</v>
      </c>
      <c r="B23" s="32">
        <f t="shared" si="1"/>
        <v>1500</v>
      </c>
      <c r="C23" s="32">
        <f t="shared" si="2"/>
        <v>3500</v>
      </c>
      <c r="D23" s="15">
        <v>3.0</v>
      </c>
      <c r="E23" s="16">
        <v>2750.0</v>
      </c>
      <c r="F23" s="19" t="s">
        <v>36</v>
      </c>
      <c r="G23" s="20">
        <v>50.0</v>
      </c>
      <c r="H23" s="21"/>
      <c r="I23" s="22"/>
      <c r="J23" s="21"/>
      <c r="K23" s="22"/>
      <c r="L23" s="21">
        <f t="shared" si="4"/>
        <v>7.5</v>
      </c>
      <c r="M23" s="24">
        <f>E23/'dynamic numbers'!$H$1</f>
        <v>137.5</v>
      </c>
      <c r="N23" s="25">
        <f>ROUNDUP(M23*'dynamic numbers'!$J$2,0)</f>
        <v>69</v>
      </c>
      <c r="O23" s="27">
        <f t="shared" si="3"/>
        <v>89.7</v>
      </c>
    </row>
    <row r="24">
      <c r="A24" s="32" t="s">
        <v>7</v>
      </c>
      <c r="B24" s="32">
        <f t="shared" si="1"/>
        <v>1500</v>
      </c>
      <c r="C24" s="32">
        <f t="shared" si="2"/>
        <v>3500</v>
      </c>
      <c r="D24" s="15">
        <v>3.0</v>
      </c>
      <c r="E24" s="16">
        <v>2900.0</v>
      </c>
      <c r="F24" s="19" t="s">
        <v>34</v>
      </c>
      <c r="G24" s="20">
        <v>500.0</v>
      </c>
      <c r="H24" s="21"/>
      <c r="I24" s="22"/>
      <c r="J24" s="21"/>
      <c r="K24" s="22"/>
      <c r="L24" s="21">
        <f t="shared" si="4"/>
        <v>7.5</v>
      </c>
      <c r="M24" s="24">
        <f>E24/'dynamic numbers'!$H$1</f>
        <v>145</v>
      </c>
      <c r="N24" s="25">
        <f>ROUNDUP(M24*'dynamic numbers'!$J$2,0)</f>
        <v>73</v>
      </c>
      <c r="O24" s="27">
        <f t="shared" si="3"/>
        <v>94.9</v>
      </c>
    </row>
    <row r="25">
      <c r="A25" s="32" t="s">
        <v>7</v>
      </c>
      <c r="B25" s="32">
        <f t="shared" si="1"/>
        <v>1500</v>
      </c>
      <c r="C25" s="32">
        <f t="shared" si="2"/>
        <v>3500</v>
      </c>
      <c r="D25" s="15">
        <v>3.0</v>
      </c>
      <c r="E25" s="16">
        <v>3000.0</v>
      </c>
      <c r="F25" s="19" t="s">
        <v>36</v>
      </c>
      <c r="G25" s="20">
        <v>75.0</v>
      </c>
      <c r="H25" s="21"/>
      <c r="I25" s="22"/>
      <c r="J25" s="21"/>
      <c r="K25" s="22"/>
      <c r="L25" s="21">
        <f t="shared" si="4"/>
        <v>5</v>
      </c>
      <c r="M25" s="24">
        <f>E25/'dynamic numbers'!$H$1</f>
        <v>150</v>
      </c>
      <c r="N25" s="25">
        <f>ROUNDUP(M25*'dynamic numbers'!$J$2,0)</f>
        <v>75</v>
      </c>
      <c r="O25" s="27">
        <f t="shared" si="3"/>
        <v>97.5</v>
      </c>
    </row>
    <row r="26">
      <c r="A26" s="32" t="s">
        <v>7</v>
      </c>
      <c r="B26" s="32">
        <f t="shared" si="1"/>
        <v>1500</v>
      </c>
      <c r="C26" s="32">
        <f t="shared" si="2"/>
        <v>3500</v>
      </c>
      <c r="D26" s="15">
        <v>3.0</v>
      </c>
      <c r="E26" s="16">
        <v>3250.0</v>
      </c>
      <c r="F26" s="19" t="s">
        <v>34</v>
      </c>
      <c r="G26" s="20">
        <v>750.0</v>
      </c>
      <c r="H26" s="21"/>
      <c r="I26" s="22"/>
      <c r="J26" s="21"/>
      <c r="K26" s="22"/>
      <c r="L26" s="21">
        <f t="shared" si="4"/>
        <v>12.5</v>
      </c>
      <c r="M26" s="24">
        <f>E26/'dynamic numbers'!$H$1</f>
        <v>162.5</v>
      </c>
      <c r="N26" s="25">
        <f>ROUNDUP(M26*'dynamic numbers'!$J$2,0)</f>
        <v>82</v>
      </c>
      <c r="O26" s="27">
        <f t="shared" si="3"/>
        <v>106.6</v>
      </c>
    </row>
    <row r="27">
      <c r="A27" s="36" t="s">
        <v>7</v>
      </c>
      <c r="B27" s="36">
        <f t="shared" si="1"/>
        <v>1500</v>
      </c>
      <c r="C27" s="36">
        <f t="shared" si="2"/>
        <v>3500</v>
      </c>
      <c r="D27" s="15">
        <v>3.0</v>
      </c>
      <c r="E27" s="16">
        <v>3500.0</v>
      </c>
      <c r="F27" s="19" t="s">
        <v>36</v>
      </c>
      <c r="G27" s="20">
        <v>100.0</v>
      </c>
      <c r="H27" s="21"/>
      <c r="I27" s="22"/>
      <c r="J27" s="21"/>
      <c r="K27" s="22"/>
      <c r="L27" s="21">
        <f t="shared" si="4"/>
        <v>12.5</v>
      </c>
      <c r="M27" s="24">
        <f>E27/'dynamic numbers'!$H$1</f>
        <v>175</v>
      </c>
      <c r="N27" s="25">
        <f>ROUNDUP(M27*'dynamic numbers'!$J$2,0)</f>
        <v>88</v>
      </c>
      <c r="O27" s="27">
        <f t="shared" si="3"/>
        <v>114.4</v>
      </c>
    </row>
    <row r="28">
      <c r="G28" s="39"/>
      <c r="I28" s="39"/>
      <c r="K28" s="39"/>
    </row>
    <row r="29">
      <c r="G29" s="39"/>
      <c r="I29" s="39"/>
      <c r="K29" s="39"/>
    </row>
    <row r="30">
      <c r="G30" s="39"/>
      <c r="I30" s="39"/>
      <c r="K30" s="39"/>
    </row>
    <row r="31">
      <c r="G31" s="39"/>
      <c r="I31" s="39"/>
      <c r="K31" s="39"/>
    </row>
    <row r="32">
      <c r="G32" s="39"/>
      <c r="I32" s="39"/>
      <c r="K32" s="39"/>
    </row>
    <row r="33">
      <c r="G33" s="39"/>
      <c r="I33" s="39"/>
      <c r="K33" s="39"/>
    </row>
    <row r="34">
      <c r="G34" s="39"/>
      <c r="I34" s="39"/>
      <c r="K34" s="39"/>
    </row>
    <row r="35">
      <c r="G35" s="39"/>
      <c r="I35" s="39"/>
      <c r="K35" s="39"/>
    </row>
    <row r="36">
      <c r="G36" s="39"/>
      <c r="I36" s="39"/>
      <c r="K36" s="39"/>
    </row>
    <row r="37">
      <c r="G37" s="39"/>
      <c r="I37" s="39"/>
      <c r="K37" s="39"/>
    </row>
    <row r="38">
      <c r="G38" s="39"/>
      <c r="I38" s="39"/>
      <c r="K38" s="39"/>
    </row>
    <row r="39">
      <c r="G39" s="39"/>
      <c r="I39" s="39"/>
      <c r="K39" s="39"/>
    </row>
    <row r="40">
      <c r="G40" s="39"/>
      <c r="I40" s="39"/>
      <c r="K40" s="39"/>
    </row>
    <row r="41">
      <c r="G41" s="39"/>
      <c r="I41" s="39"/>
      <c r="K41" s="39"/>
    </row>
    <row r="42">
      <c r="G42" s="39"/>
      <c r="I42" s="39"/>
      <c r="K42" s="39"/>
    </row>
    <row r="43">
      <c r="G43" s="39"/>
      <c r="I43" s="39"/>
      <c r="K43" s="39"/>
    </row>
    <row r="44">
      <c r="G44" s="39"/>
      <c r="I44" s="39"/>
      <c r="K44" s="39"/>
    </row>
    <row r="45">
      <c r="G45" s="39"/>
      <c r="I45" s="39"/>
      <c r="K45" s="39"/>
    </row>
    <row r="46">
      <c r="G46" s="39"/>
      <c r="I46" s="39"/>
      <c r="K46" s="39"/>
    </row>
    <row r="47">
      <c r="G47" s="39"/>
      <c r="I47" s="39"/>
      <c r="K47" s="39"/>
    </row>
    <row r="48">
      <c r="G48" s="39"/>
      <c r="I48" s="39"/>
      <c r="K48" s="39"/>
    </row>
    <row r="49">
      <c r="G49" s="39"/>
      <c r="I49" s="39"/>
      <c r="K49" s="39"/>
    </row>
    <row r="50">
      <c r="G50" s="39"/>
      <c r="I50" s="39"/>
      <c r="K50" s="39"/>
    </row>
    <row r="51">
      <c r="G51" s="39"/>
      <c r="I51" s="39"/>
      <c r="K51" s="39"/>
    </row>
    <row r="52">
      <c r="G52" s="39"/>
      <c r="I52" s="39"/>
      <c r="K52" s="39"/>
    </row>
    <row r="53">
      <c r="G53" s="39"/>
      <c r="I53" s="39"/>
      <c r="K53" s="39"/>
    </row>
    <row r="54">
      <c r="G54" s="39"/>
      <c r="I54" s="39"/>
      <c r="K54" s="39"/>
    </row>
    <row r="55">
      <c r="G55" s="39"/>
      <c r="I55" s="39"/>
      <c r="K55" s="39"/>
    </row>
    <row r="56">
      <c r="G56" s="39"/>
      <c r="I56" s="39"/>
      <c r="K56" s="39"/>
    </row>
    <row r="57">
      <c r="G57" s="39"/>
      <c r="I57" s="39"/>
      <c r="K57" s="39"/>
    </row>
    <row r="58">
      <c r="G58" s="39"/>
      <c r="I58" s="39"/>
      <c r="K58" s="39"/>
    </row>
    <row r="59">
      <c r="G59" s="39"/>
      <c r="I59" s="39"/>
      <c r="K59" s="39"/>
    </row>
    <row r="60">
      <c r="G60" s="39"/>
      <c r="I60" s="39"/>
      <c r="K60" s="39"/>
    </row>
    <row r="61">
      <c r="G61" s="39"/>
      <c r="I61" s="39"/>
      <c r="K61" s="39"/>
    </row>
    <row r="62">
      <c r="G62" s="39"/>
      <c r="I62" s="39"/>
      <c r="K62" s="39"/>
    </row>
    <row r="63">
      <c r="G63" s="39"/>
      <c r="I63" s="39"/>
      <c r="K63" s="39"/>
    </row>
    <row r="64">
      <c r="G64" s="39"/>
      <c r="I64" s="39"/>
      <c r="K64" s="39"/>
    </row>
    <row r="65">
      <c r="G65" s="39"/>
      <c r="I65" s="39"/>
      <c r="K65" s="39"/>
    </row>
    <row r="66">
      <c r="G66" s="39"/>
      <c r="I66" s="39"/>
      <c r="K66" s="39"/>
    </row>
    <row r="67">
      <c r="G67" s="39"/>
      <c r="I67" s="39"/>
      <c r="K67" s="39"/>
    </row>
    <row r="68">
      <c r="G68" s="39"/>
      <c r="I68" s="39"/>
      <c r="K68" s="39"/>
    </row>
    <row r="69">
      <c r="G69" s="39"/>
      <c r="I69" s="39"/>
      <c r="K69" s="39"/>
    </row>
    <row r="70">
      <c r="G70" s="39"/>
      <c r="I70" s="39"/>
      <c r="K70" s="39"/>
    </row>
    <row r="71">
      <c r="G71" s="39"/>
      <c r="I71" s="39"/>
      <c r="K71" s="39"/>
    </row>
    <row r="72">
      <c r="G72" s="39"/>
      <c r="I72" s="39"/>
      <c r="K72" s="39"/>
    </row>
    <row r="73">
      <c r="G73" s="39"/>
      <c r="I73" s="39"/>
      <c r="K73" s="39"/>
    </row>
    <row r="74">
      <c r="G74" s="39"/>
      <c r="I74" s="39"/>
      <c r="K74" s="39"/>
    </row>
    <row r="75">
      <c r="G75" s="39"/>
      <c r="I75" s="39"/>
      <c r="K75" s="39"/>
    </row>
    <row r="76">
      <c r="G76" s="39"/>
      <c r="I76" s="39"/>
      <c r="K76" s="39"/>
    </row>
    <row r="77">
      <c r="G77" s="39"/>
      <c r="I77" s="39"/>
      <c r="K77" s="39"/>
    </row>
    <row r="78">
      <c r="G78" s="39"/>
      <c r="I78" s="39"/>
      <c r="K78" s="39"/>
    </row>
    <row r="79">
      <c r="G79" s="39"/>
      <c r="I79" s="39"/>
      <c r="K79" s="39"/>
    </row>
    <row r="80">
      <c r="G80" s="39"/>
      <c r="I80" s="39"/>
      <c r="K80" s="39"/>
    </row>
    <row r="81">
      <c r="G81" s="39"/>
      <c r="I81" s="39"/>
      <c r="K81" s="39"/>
    </row>
    <row r="82">
      <c r="G82" s="39"/>
      <c r="I82" s="39"/>
      <c r="K82" s="39"/>
    </row>
    <row r="83">
      <c r="G83" s="39"/>
      <c r="I83" s="39"/>
      <c r="K83" s="39"/>
    </row>
    <row r="84">
      <c r="G84" s="39"/>
      <c r="I84" s="39"/>
      <c r="K84" s="39"/>
    </row>
    <row r="85">
      <c r="G85" s="39"/>
      <c r="I85" s="39"/>
      <c r="K85" s="39"/>
    </row>
    <row r="86">
      <c r="G86" s="39"/>
      <c r="I86" s="39"/>
      <c r="K86" s="39"/>
    </row>
    <row r="87">
      <c r="G87" s="39"/>
      <c r="I87" s="39"/>
      <c r="K87" s="39"/>
    </row>
    <row r="88">
      <c r="G88" s="39"/>
      <c r="I88" s="39"/>
      <c r="K88" s="39"/>
    </row>
    <row r="89">
      <c r="G89" s="39"/>
      <c r="I89" s="39"/>
      <c r="K89" s="39"/>
    </row>
    <row r="90">
      <c r="G90" s="39"/>
      <c r="I90" s="39"/>
      <c r="K90" s="39"/>
    </row>
    <row r="91">
      <c r="G91" s="39"/>
      <c r="I91" s="39"/>
      <c r="K91" s="39"/>
    </row>
    <row r="92">
      <c r="G92" s="39"/>
      <c r="I92" s="39"/>
      <c r="K92" s="39"/>
    </row>
    <row r="93">
      <c r="G93" s="39"/>
      <c r="I93" s="39"/>
      <c r="K93" s="39"/>
    </row>
    <row r="94">
      <c r="G94" s="39"/>
      <c r="I94" s="39"/>
      <c r="K94" s="39"/>
    </row>
    <row r="95">
      <c r="G95" s="39"/>
      <c r="I95" s="39"/>
      <c r="K95" s="39"/>
    </row>
    <row r="96">
      <c r="G96" s="39"/>
      <c r="I96" s="39"/>
      <c r="K96" s="39"/>
    </row>
    <row r="97">
      <c r="G97" s="39"/>
      <c r="I97" s="39"/>
      <c r="K97" s="39"/>
    </row>
    <row r="98">
      <c r="G98" s="39"/>
      <c r="I98" s="39"/>
      <c r="K98" s="39"/>
    </row>
    <row r="99">
      <c r="G99" s="39"/>
      <c r="I99" s="39"/>
      <c r="K99" s="39"/>
    </row>
    <row r="100">
      <c r="G100" s="39"/>
      <c r="I100" s="39"/>
      <c r="K100" s="39"/>
    </row>
    <row r="101">
      <c r="G101" s="39"/>
      <c r="I101" s="39"/>
      <c r="K101" s="39"/>
    </row>
    <row r="102">
      <c r="G102" s="39"/>
      <c r="I102" s="39"/>
      <c r="K102" s="39"/>
    </row>
    <row r="103">
      <c r="G103" s="39"/>
      <c r="I103" s="39"/>
      <c r="K103" s="39"/>
    </row>
    <row r="104">
      <c r="G104" s="39"/>
      <c r="I104" s="39"/>
      <c r="K104" s="39"/>
    </row>
    <row r="105">
      <c r="G105" s="39"/>
      <c r="I105" s="39"/>
      <c r="K105" s="39"/>
    </row>
    <row r="106">
      <c r="G106" s="39"/>
      <c r="I106" s="39"/>
      <c r="K106" s="39"/>
    </row>
    <row r="107">
      <c r="G107" s="39"/>
      <c r="I107" s="39"/>
      <c r="K107" s="39"/>
    </row>
    <row r="108">
      <c r="G108" s="39"/>
      <c r="I108" s="39"/>
      <c r="K108" s="39"/>
    </row>
    <row r="109">
      <c r="G109" s="39"/>
      <c r="I109" s="39"/>
      <c r="K109" s="39"/>
    </row>
    <row r="110">
      <c r="G110" s="39"/>
      <c r="I110" s="39"/>
      <c r="K110" s="39"/>
    </row>
    <row r="111">
      <c r="G111" s="39"/>
      <c r="I111" s="39"/>
      <c r="K111" s="39"/>
    </row>
    <row r="112">
      <c r="G112" s="39"/>
      <c r="I112" s="39"/>
      <c r="K112" s="39"/>
    </row>
    <row r="113">
      <c r="G113" s="39"/>
      <c r="I113" s="39"/>
      <c r="K113" s="39"/>
    </row>
    <row r="114">
      <c r="G114" s="39"/>
      <c r="I114" s="39"/>
      <c r="K114" s="39"/>
    </row>
    <row r="115">
      <c r="G115" s="39"/>
      <c r="I115" s="39"/>
      <c r="K115" s="39"/>
    </row>
    <row r="116">
      <c r="G116" s="39"/>
      <c r="I116" s="39"/>
      <c r="K116" s="39"/>
    </row>
    <row r="117">
      <c r="G117" s="39"/>
      <c r="I117" s="39"/>
      <c r="K117" s="39"/>
    </row>
    <row r="118">
      <c r="G118" s="39"/>
      <c r="I118" s="39"/>
      <c r="K118" s="39"/>
    </row>
    <row r="119">
      <c r="G119" s="39"/>
      <c r="I119" s="39"/>
      <c r="K119" s="39"/>
    </row>
    <row r="120">
      <c r="G120" s="39"/>
      <c r="I120" s="39"/>
      <c r="K120" s="39"/>
    </row>
    <row r="121">
      <c r="G121" s="39"/>
      <c r="I121" s="39"/>
      <c r="K121" s="39"/>
    </row>
    <row r="122">
      <c r="G122" s="39"/>
      <c r="I122" s="39"/>
      <c r="K122" s="39"/>
    </row>
    <row r="123">
      <c r="G123" s="39"/>
      <c r="I123" s="39"/>
      <c r="K123" s="39"/>
    </row>
    <row r="124">
      <c r="G124" s="39"/>
      <c r="I124" s="39"/>
      <c r="K124" s="39"/>
    </row>
    <row r="125">
      <c r="G125" s="39"/>
      <c r="I125" s="39"/>
      <c r="K125" s="39"/>
    </row>
    <row r="126">
      <c r="G126" s="39"/>
      <c r="I126" s="39"/>
      <c r="K126" s="39"/>
    </row>
    <row r="127">
      <c r="G127" s="39"/>
      <c r="I127" s="39"/>
      <c r="K127" s="39"/>
    </row>
    <row r="128">
      <c r="G128" s="39"/>
      <c r="I128" s="39"/>
      <c r="K128" s="39"/>
    </row>
    <row r="129">
      <c r="G129" s="39"/>
      <c r="I129" s="39"/>
      <c r="K129" s="39"/>
    </row>
    <row r="130">
      <c r="G130" s="39"/>
      <c r="I130" s="39"/>
      <c r="K130" s="39"/>
    </row>
    <row r="131">
      <c r="G131" s="39"/>
      <c r="I131" s="39"/>
      <c r="K131" s="39"/>
    </row>
    <row r="132">
      <c r="G132" s="39"/>
      <c r="I132" s="39"/>
      <c r="K132" s="39"/>
    </row>
    <row r="133">
      <c r="G133" s="39"/>
      <c r="I133" s="39"/>
      <c r="K133" s="39"/>
    </row>
    <row r="134">
      <c r="G134" s="39"/>
      <c r="I134" s="39"/>
      <c r="K134" s="39"/>
    </row>
    <row r="135">
      <c r="G135" s="39"/>
      <c r="I135" s="39"/>
      <c r="K135" s="39"/>
    </row>
    <row r="136">
      <c r="G136" s="39"/>
      <c r="I136" s="39"/>
      <c r="K136" s="39"/>
    </row>
    <row r="137">
      <c r="G137" s="39"/>
      <c r="I137" s="39"/>
      <c r="K137" s="39"/>
    </row>
    <row r="138">
      <c r="G138" s="39"/>
      <c r="I138" s="39"/>
      <c r="K138" s="39"/>
    </row>
    <row r="139">
      <c r="G139" s="39"/>
      <c r="I139" s="39"/>
      <c r="K139" s="39"/>
    </row>
    <row r="140">
      <c r="G140" s="39"/>
      <c r="I140" s="39"/>
      <c r="K140" s="39"/>
    </row>
    <row r="141">
      <c r="G141" s="39"/>
      <c r="I141" s="39"/>
      <c r="K141" s="39"/>
    </row>
    <row r="142">
      <c r="G142" s="39"/>
      <c r="I142" s="39"/>
      <c r="K142" s="39"/>
    </row>
    <row r="143">
      <c r="G143" s="39"/>
      <c r="I143" s="39"/>
      <c r="K143" s="39"/>
    </row>
    <row r="144">
      <c r="G144" s="39"/>
      <c r="I144" s="39"/>
      <c r="K144" s="39"/>
    </row>
    <row r="145">
      <c r="G145" s="39"/>
      <c r="I145" s="39"/>
      <c r="K145" s="39"/>
    </row>
    <row r="146">
      <c r="G146" s="39"/>
      <c r="I146" s="39"/>
      <c r="K146" s="39"/>
    </row>
    <row r="147">
      <c r="G147" s="39"/>
      <c r="I147" s="39"/>
      <c r="K147" s="39"/>
    </row>
    <row r="148">
      <c r="G148" s="39"/>
      <c r="I148" s="39"/>
      <c r="K148" s="39"/>
    </row>
    <row r="149">
      <c r="G149" s="39"/>
      <c r="I149" s="39"/>
      <c r="K149" s="39"/>
    </row>
    <row r="150">
      <c r="G150" s="39"/>
      <c r="I150" s="39"/>
      <c r="K150" s="39"/>
    </row>
    <row r="151">
      <c r="G151" s="39"/>
      <c r="I151" s="39"/>
      <c r="K151" s="39"/>
    </row>
    <row r="152">
      <c r="G152" s="39"/>
      <c r="I152" s="39"/>
      <c r="K152" s="39"/>
    </row>
    <row r="153">
      <c r="G153" s="39"/>
      <c r="I153" s="39"/>
      <c r="K153" s="39"/>
    </row>
    <row r="154">
      <c r="G154" s="39"/>
      <c r="I154" s="39"/>
      <c r="K154" s="39"/>
    </row>
    <row r="155">
      <c r="G155" s="39"/>
      <c r="I155" s="39"/>
      <c r="K155" s="39"/>
    </row>
    <row r="156">
      <c r="G156" s="39"/>
      <c r="I156" s="39"/>
      <c r="K156" s="39"/>
    </row>
    <row r="157">
      <c r="G157" s="39"/>
      <c r="I157" s="39"/>
      <c r="K157" s="39"/>
    </row>
    <row r="158">
      <c r="G158" s="39"/>
      <c r="I158" s="39"/>
      <c r="K158" s="39"/>
    </row>
    <row r="159">
      <c r="G159" s="39"/>
      <c r="I159" s="39"/>
      <c r="K159" s="39"/>
    </row>
    <row r="160">
      <c r="G160" s="39"/>
      <c r="I160" s="39"/>
      <c r="K160" s="39"/>
    </row>
    <row r="161">
      <c r="G161" s="39"/>
      <c r="I161" s="39"/>
      <c r="K161" s="39"/>
    </row>
    <row r="162">
      <c r="G162" s="39"/>
      <c r="I162" s="39"/>
      <c r="K162" s="39"/>
    </row>
    <row r="163">
      <c r="G163" s="39"/>
      <c r="I163" s="39"/>
      <c r="K163" s="39"/>
    </row>
    <row r="164">
      <c r="G164" s="39"/>
      <c r="I164" s="39"/>
      <c r="K164" s="39"/>
    </row>
    <row r="165">
      <c r="G165" s="39"/>
      <c r="I165" s="39"/>
      <c r="K165" s="39"/>
    </row>
    <row r="166">
      <c r="G166" s="39"/>
      <c r="I166" s="39"/>
      <c r="K166" s="39"/>
    </row>
    <row r="167">
      <c r="G167" s="39"/>
      <c r="I167" s="39"/>
      <c r="K167" s="39"/>
    </row>
    <row r="168">
      <c r="G168" s="39"/>
      <c r="I168" s="39"/>
      <c r="K168" s="39"/>
    </row>
    <row r="169">
      <c r="G169" s="39"/>
      <c r="I169" s="39"/>
      <c r="K169" s="39"/>
    </row>
    <row r="170">
      <c r="G170" s="39"/>
      <c r="I170" s="39"/>
      <c r="K170" s="39"/>
    </row>
    <row r="171">
      <c r="G171" s="39"/>
      <c r="I171" s="39"/>
      <c r="K171" s="39"/>
    </row>
    <row r="172">
      <c r="G172" s="39"/>
      <c r="I172" s="39"/>
      <c r="K172" s="39"/>
    </row>
    <row r="173">
      <c r="G173" s="39"/>
      <c r="I173" s="39"/>
      <c r="K173" s="39"/>
    </row>
    <row r="174">
      <c r="G174" s="39"/>
      <c r="I174" s="39"/>
      <c r="K174" s="39"/>
    </row>
    <row r="175">
      <c r="G175" s="39"/>
      <c r="I175" s="39"/>
      <c r="K175" s="39"/>
    </row>
    <row r="176">
      <c r="G176" s="39"/>
      <c r="I176" s="39"/>
      <c r="K176" s="39"/>
    </row>
    <row r="177">
      <c r="G177" s="39"/>
      <c r="I177" s="39"/>
      <c r="K177" s="39"/>
    </row>
    <row r="178">
      <c r="G178" s="39"/>
      <c r="I178" s="39"/>
      <c r="K178" s="39"/>
    </row>
    <row r="179">
      <c r="G179" s="39"/>
      <c r="I179" s="39"/>
      <c r="K179" s="39"/>
    </row>
    <row r="180">
      <c r="G180" s="39"/>
      <c r="I180" s="39"/>
      <c r="K180" s="39"/>
    </row>
    <row r="181">
      <c r="G181" s="39"/>
      <c r="I181" s="39"/>
      <c r="K181" s="39"/>
    </row>
    <row r="182">
      <c r="G182" s="39"/>
      <c r="I182" s="39"/>
      <c r="K182" s="39"/>
    </row>
    <row r="183">
      <c r="G183" s="39"/>
      <c r="I183" s="39"/>
      <c r="K183" s="39"/>
    </row>
    <row r="184">
      <c r="G184" s="39"/>
      <c r="I184" s="39"/>
      <c r="K184" s="39"/>
    </row>
    <row r="185">
      <c r="G185" s="39"/>
      <c r="I185" s="39"/>
      <c r="K185" s="39"/>
    </row>
    <row r="186">
      <c r="G186" s="39"/>
      <c r="I186" s="39"/>
      <c r="K186" s="39"/>
    </row>
    <row r="187">
      <c r="G187" s="39"/>
      <c r="I187" s="39"/>
      <c r="K187" s="39"/>
    </row>
    <row r="188">
      <c r="G188" s="39"/>
      <c r="I188" s="39"/>
      <c r="K188" s="39"/>
    </row>
    <row r="189">
      <c r="G189" s="39"/>
      <c r="I189" s="39"/>
      <c r="K189" s="39"/>
    </row>
    <row r="190">
      <c r="G190" s="39"/>
      <c r="I190" s="39"/>
      <c r="K190" s="39"/>
    </row>
    <row r="191">
      <c r="G191" s="39"/>
      <c r="I191" s="39"/>
      <c r="K191" s="39"/>
    </row>
    <row r="192">
      <c r="G192" s="39"/>
      <c r="I192" s="39"/>
      <c r="K192" s="39"/>
    </row>
    <row r="193">
      <c r="G193" s="39"/>
      <c r="I193" s="39"/>
      <c r="K193" s="39"/>
    </row>
    <row r="194">
      <c r="G194" s="39"/>
      <c r="I194" s="39"/>
      <c r="K194" s="39"/>
    </row>
    <row r="195">
      <c r="G195" s="39"/>
      <c r="I195" s="39"/>
      <c r="K195" s="39"/>
    </row>
    <row r="196">
      <c r="G196" s="39"/>
      <c r="I196" s="39"/>
      <c r="K196" s="39"/>
    </row>
    <row r="197">
      <c r="G197" s="39"/>
      <c r="I197" s="39"/>
      <c r="K197" s="39"/>
    </row>
    <row r="198">
      <c r="G198" s="39"/>
      <c r="I198" s="39"/>
      <c r="K198" s="39"/>
    </row>
    <row r="199">
      <c r="G199" s="39"/>
      <c r="I199" s="39"/>
      <c r="K199" s="39"/>
    </row>
    <row r="200">
      <c r="G200" s="39"/>
      <c r="I200" s="39"/>
      <c r="K200" s="39"/>
    </row>
    <row r="201">
      <c r="G201" s="39"/>
      <c r="I201" s="39"/>
      <c r="K201" s="39"/>
    </row>
    <row r="202">
      <c r="G202" s="39"/>
      <c r="I202" s="39"/>
      <c r="K202" s="39"/>
    </row>
    <row r="203">
      <c r="G203" s="39"/>
      <c r="I203" s="39"/>
      <c r="K203" s="39"/>
    </row>
    <row r="204">
      <c r="G204" s="39"/>
      <c r="I204" s="39"/>
      <c r="K204" s="39"/>
    </row>
    <row r="205">
      <c r="G205" s="39"/>
      <c r="I205" s="39"/>
      <c r="K205" s="39"/>
    </row>
    <row r="206">
      <c r="G206" s="39"/>
      <c r="I206" s="39"/>
      <c r="K206" s="39"/>
    </row>
    <row r="207">
      <c r="G207" s="39"/>
      <c r="I207" s="39"/>
      <c r="K207" s="39"/>
    </row>
    <row r="208">
      <c r="G208" s="39"/>
      <c r="I208" s="39"/>
      <c r="K208" s="39"/>
    </row>
    <row r="209">
      <c r="G209" s="39"/>
      <c r="I209" s="39"/>
      <c r="K209" s="39"/>
    </row>
    <row r="210">
      <c r="G210" s="39"/>
      <c r="I210" s="39"/>
      <c r="K210" s="39"/>
    </row>
    <row r="211">
      <c r="G211" s="39"/>
      <c r="I211" s="39"/>
      <c r="K211" s="39"/>
    </row>
    <row r="212">
      <c r="G212" s="39"/>
      <c r="I212" s="39"/>
      <c r="K212" s="39"/>
    </row>
    <row r="213">
      <c r="G213" s="39"/>
      <c r="I213" s="39"/>
      <c r="K213" s="39"/>
    </row>
    <row r="214">
      <c r="G214" s="39"/>
      <c r="I214" s="39"/>
      <c r="K214" s="39"/>
    </row>
    <row r="215">
      <c r="G215" s="39"/>
      <c r="I215" s="39"/>
      <c r="K215" s="39"/>
    </row>
    <row r="216">
      <c r="G216" s="39"/>
      <c r="I216" s="39"/>
      <c r="K216" s="39"/>
    </row>
    <row r="217">
      <c r="G217" s="39"/>
      <c r="I217" s="39"/>
      <c r="K217" s="39"/>
    </row>
    <row r="218">
      <c r="G218" s="39"/>
      <c r="I218" s="39"/>
      <c r="K218" s="39"/>
    </row>
    <row r="219">
      <c r="G219" s="39"/>
      <c r="I219" s="39"/>
      <c r="K219" s="39"/>
    </row>
    <row r="220">
      <c r="G220" s="39"/>
      <c r="I220" s="39"/>
      <c r="K220" s="39"/>
    </row>
    <row r="221">
      <c r="G221" s="39"/>
      <c r="I221" s="39"/>
      <c r="K221" s="39"/>
    </row>
    <row r="222">
      <c r="G222" s="39"/>
      <c r="I222" s="39"/>
      <c r="K222" s="39"/>
    </row>
    <row r="223">
      <c r="G223" s="39"/>
      <c r="I223" s="39"/>
      <c r="K223" s="39"/>
    </row>
    <row r="224">
      <c r="G224" s="39"/>
      <c r="I224" s="39"/>
      <c r="K224" s="39"/>
    </row>
    <row r="225">
      <c r="G225" s="39"/>
      <c r="I225" s="39"/>
      <c r="K225" s="39"/>
    </row>
    <row r="226">
      <c r="G226" s="39"/>
      <c r="I226" s="39"/>
      <c r="K226" s="39"/>
    </row>
    <row r="227">
      <c r="G227" s="39"/>
      <c r="I227" s="39"/>
      <c r="K227" s="39"/>
    </row>
    <row r="228">
      <c r="G228" s="39"/>
      <c r="I228" s="39"/>
      <c r="K228" s="39"/>
    </row>
    <row r="229">
      <c r="G229" s="39"/>
      <c r="I229" s="39"/>
      <c r="K229" s="39"/>
    </row>
    <row r="230">
      <c r="G230" s="39"/>
      <c r="I230" s="39"/>
      <c r="K230" s="39"/>
    </row>
    <row r="231">
      <c r="G231" s="39"/>
      <c r="I231" s="39"/>
      <c r="K231" s="39"/>
    </row>
    <row r="232">
      <c r="G232" s="39"/>
      <c r="I232" s="39"/>
      <c r="K232" s="39"/>
    </row>
    <row r="233">
      <c r="G233" s="39"/>
      <c r="I233" s="39"/>
      <c r="K233" s="39"/>
    </row>
    <row r="234">
      <c r="G234" s="39"/>
      <c r="I234" s="39"/>
      <c r="K234" s="39"/>
    </row>
    <row r="235">
      <c r="G235" s="39"/>
      <c r="I235" s="39"/>
      <c r="K235" s="39"/>
    </row>
    <row r="236">
      <c r="G236" s="39"/>
      <c r="I236" s="39"/>
      <c r="K236" s="39"/>
    </row>
    <row r="237">
      <c r="G237" s="39"/>
      <c r="I237" s="39"/>
      <c r="K237" s="39"/>
    </row>
    <row r="238">
      <c r="G238" s="39"/>
      <c r="I238" s="39"/>
      <c r="K238" s="39"/>
    </row>
    <row r="239">
      <c r="G239" s="39"/>
      <c r="I239" s="39"/>
      <c r="K239" s="39"/>
    </row>
    <row r="240">
      <c r="G240" s="39"/>
      <c r="I240" s="39"/>
      <c r="K240" s="39"/>
    </row>
    <row r="241">
      <c r="G241" s="39"/>
      <c r="I241" s="39"/>
      <c r="K241" s="39"/>
    </row>
    <row r="242">
      <c r="G242" s="39"/>
      <c r="I242" s="39"/>
      <c r="K242" s="39"/>
    </row>
    <row r="243">
      <c r="G243" s="39"/>
      <c r="I243" s="39"/>
      <c r="K243" s="39"/>
    </row>
    <row r="244">
      <c r="G244" s="39"/>
      <c r="I244" s="39"/>
      <c r="K244" s="39"/>
    </row>
    <row r="245">
      <c r="G245" s="39"/>
      <c r="I245" s="39"/>
      <c r="K245" s="39"/>
    </row>
    <row r="246">
      <c r="G246" s="39"/>
      <c r="I246" s="39"/>
      <c r="K246" s="39"/>
    </row>
    <row r="247">
      <c r="G247" s="39"/>
      <c r="I247" s="39"/>
      <c r="K247" s="39"/>
    </row>
    <row r="248">
      <c r="G248" s="39"/>
      <c r="I248" s="39"/>
      <c r="K248" s="39"/>
    </row>
    <row r="249">
      <c r="G249" s="39"/>
      <c r="I249" s="39"/>
      <c r="K249" s="39"/>
    </row>
    <row r="250">
      <c r="G250" s="39"/>
      <c r="I250" s="39"/>
      <c r="K250" s="39"/>
    </row>
    <row r="251">
      <c r="G251" s="39"/>
      <c r="I251" s="39"/>
      <c r="K251" s="39"/>
    </row>
    <row r="252">
      <c r="G252" s="39"/>
      <c r="I252" s="39"/>
      <c r="K252" s="39"/>
    </row>
    <row r="253">
      <c r="G253" s="39"/>
      <c r="I253" s="39"/>
      <c r="K253" s="39"/>
    </row>
    <row r="254">
      <c r="G254" s="39"/>
      <c r="I254" s="39"/>
      <c r="K254" s="39"/>
    </row>
    <row r="255">
      <c r="G255" s="39"/>
      <c r="I255" s="39"/>
      <c r="K255" s="39"/>
    </row>
    <row r="256">
      <c r="G256" s="39"/>
      <c r="I256" s="39"/>
      <c r="K256" s="39"/>
    </row>
    <row r="257">
      <c r="G257" s="39"/>
      <c r="I257" s="39"/>
      <c r="K257" s="39"/>
    </row>
    <row r="258">
      <c r="G258" s="39"/>
      <c r="I258" s="39"/>
      <c r="K258" s="39"/>
    </row>
    <row r="259">
      <c r="G259" s="39"/>
      <c r="I259" s="39"/>
      <c r="K259" s="39"/>
    </row>
    <row r="260">
      <c r="G260" s="39"/>
      <c r="I260" s="39"/>
      <c r="K260" s="39"/>
    </row>
    <row r="261">
      <c r="G261" s="39"/>
      <c r="I261" s="39"/>
      <c r="K261" s="39"/>
    </row>
    <row r="262">
      <c r="G262" s="39"/>
      <c r="I262" s="39"/>
      <c r="K262" s="39"/>
    </row>
    <row r="263">
      <c r="G263" s="39"/>
      <c r="I263" s="39"/>
      <c r="K263" s="39"/>
    </row>
    <row r="264">
      <c r="G264" s="39"/>
      <c r="I264" s="39"/>
      <c r="K264" s="39"/>
    </row>
    <row r="265">
      <c r="G265" s="39"/>
      <c r="I265" s="39"/>
      <c r="K265" s="39"/>
    </row>
    <row r="266">
      <c r="G266" s="39"/>
      <c r="I266" s="39"/>
      <c r="K266" s="39"/>
    </row>
    <row r="267">
      <c r="G267" s="39"/>
      <c r="I267" s="39"/>
      <c r="K267" s="39"/>
    </row>
    <row r="268">
      <c r="G268" s="39"/>
      <c r="I268" s="39"/>
      <c r="K268" s="39"/>
    </row>
    <row r="269">
      <c r="G269" s="39"/>
      <c r="I269" s="39"/>
      <c r="K269" s="39"/>
    </row>
    <row r="270">
      <c r="G270" s="39"/>
      <c r="I270" s="39"/>
      <c r="K270" s="39"/>
    </row>
    <row r="271">
      <c r="G271" s="39"/>
      <c r="I271" s="39"/>
      <c r="K271" s="39"/>
    </row>
    <row r="272">
      <c r="G272" s="39"/>
      <c r="I272" s="39"/>
      <c r="K272" s="39"/>
    </row>
    <row r="273">
      <c r="G273" s="39"/>
      <c r="I273" s="39"/>
      <c r="K273" s="39"/>
    </row>
    <row r="274">
      <c r="G274" s="39"/>
      <c r="I274" s="39"/>
      <c r="K274" s="39"/>
    </row>
    <row r="275">
      <c r="G275" s="39"/>
      <c r="I275" s="39"/>
      <c r="K275" s="39"/>
    </row>
    <row r="276">
      <c r="G276" s="39"/>
      <c r="I276" s="39"/>
      <c r="K276" s="39"/>
    </row>
    <row r="277">
      <c r="G277" s="39"/>
      <c r="I277" s="39"/>
      <c r="K277" s="39"/>
    </row>
    <row r="278">
      <c r="G278" s="39"/>
      <c r="I278" s="39"/>
      <c r="K278" s="39"/>
    </row>
    <row r="279">
      <c r="G279" s="39"/>
      <c r="I279" s="39"/>
      <c r="K279" s="39"/>
    </row>
    <row r="280">
      <c r="G280" s="39"/>
      <c r="I280" s="39"/>
      <c r="K280" s="39"/>
    </row>
    <row r="281">
      <c r="G281" s="39"/>
      <c r="I281" s="39"/>
      <c r="K281" s="39"/>
    </row>
    <row r="282">
      <c r="G282" s="39"/>
      <c r="I282" s="39"/>
      <c r="K282" s="39"/>
    </row>
    <row r="283">
      <c r="G283" s="39"/>
      <c r="I283" s="39"/>
      <c r="K283" s="39"/>
    </row>
    <row r="284">
      <c r="G284" s="39"/>
      <c r="I284" s="39"/>
      <c r="K284" s="39"/>
    </row>
    <row r="285">
      <c r="G285" s="39"/>
      <c r="I285" s="39"/>
      <c r="K285" s="39"/>
    </row>
    <row r="286">
      <c r="G286" s="39"/>
      <c r="I286" s="39"/>
      <c r="K286" s="39"/>
    </row>
    <row r="287">
      <c r="G287" s="39"/>
      <c r="I287" s="39"/>
      <c r="K287" s="39"/>
    </row>
    <row r="288">
      <c r="G288" s="39"/>
      <c r="I288" s="39"/>
      <c r="K288" s="39"/>
    </row>
    <row r="289">
      <c r="G289" s="39"/>
      <c r="I289" s="39"/>
      <c r="K289" s="39"/>
    </row>
    <row r="290">
      <c r="G290" s="39"/>
      <c r="I290" s="39"/>
      <c r="K290" s="39"/>
    </row>
    <row r="291">
      <c r="G291" s="39"/>
      <c r="I291" s="39"/>
      <c r="K291" s="39"/>
    </row>
    <row r="292">
      <c r="G292" s="39"/>
      <c r="I292" s="39"/>
      <c r="K292" s="39"/>
    </row>
    <row r="293">
      <c r="G293" s="39"/>
      <c r="I293" s="39"/>
      <c r="K293" s="39"/>
    </row>
    <row r="294">
      <c r="G294" s="39"/>
      <c r="I294" s="39"/>
      <c r="K294" s="39"/>
    </row>
    <row r="295">
      <c r="G295" s="39"/>
      <c r="I295" s="39"/>
      <c r="K295" s="39"/>
    </row>
    <row r="296">
      <c r="G296" s="39"/>
      <c r="I296" s="39"/>
      <c r="K296" s="39"/>
    </row>
    <row r="297">
      <c r="G297" s="39"/>
      <c r="I297" s="39"/>
      <c r="K297" s="39"/>
    </row>
    <row r="298">
      <c r="G298" s="39"/>
      <c r="I298" s="39"/>
      <c r="K298" s="39"/>
    </row>
    <row r="299">
      <c r="G299" s="39"/>
      <c r="I299" s="39"/>
      <c r="K299" s="39"/>
    </row>
    <row r="300">
      <c r="G300" s="39"/>
      <c r="I300" s="39"/>
      <c r="K300" s="39"/>
    </row>
    <row r="301">
      <c r="G301" s="39"/>
      <c r="I301" s="39"/>
      <c r="K301" s="39"/>
    </row>
    <row r="302">
      <c r="G302" s="39"/>
      <c r="I302" s="39"/>
      <c r="K302" s="39"/>
    </row>
    <row r="303">
      <c r="G303" s="39"/>
      <c r="I303" s="39"/>
      <c r="K303" s="39"/>
    </row>
    <row r="304">
      <c r="G304" s="39"/>
      <c r="I304" s="39"/>
      <c r="K304" s="39"/>
    </row>
    <row r="305">
      <c r="G305" s="39"/>
      <c r="I305" s="39"/>
      <c r="K305" s="39"/>
    </row>
    <row r="306">
      <c r="G306" s="39"/>
      <c r="I306" s="39"/>
      <c r="K306" s="39"/>
    </row>
    <row r="307">
      <c r="G307" s="39"/>
      <c r="I307" s="39"/>
      <c r="K307" s="39"/>
    </row>
    <row r="308">
      <c r="G308" s="39"/>
      <c r="I308" s="39"/>
      <c r="K308" s="39"/>
    </row>
    <row r="309">
      <c r="G309" s="39"/>
      <c r="I309" s="39"/>
      <c r="K309" s="39"/>
    </row>
    <row r="310">
      <c r="G310" s="39"/>
      <c r="I310" s="39"/>
      <c r="K310" s="39"/>
    </row>
    <row r="311">
      <c r="G311" s="39"/>
      <c r="I311" s="39"/>
      <c r="K311" s="39"/>
    </row>
    <row r="312">
      <c r="G312" s="39"/>
      <c r="I312" s="39"/>
      <c r="K312" s="39"/>
    </row>
    <row r="313">
      <c r="G313" s="39"/>
      <c r="I313" s="39"/>
      <c r="K313" s="39"/>
    </row>
    <row r="314">
      <c r="G314" s="39"/>
      <c r="I314" s="39"/>
      <c r="K314" s="39"/>
    </row>
    <row r="315">
      <c r="G315" s="39"/>
      <c r="I315" s="39"/>
      <c r="K315" s="39"/>
    </row>
    <row r="316">
      <c r="G316" s="39"/>
      <c r="I316" s="39"/>
      <c r="K316" s="39"/>
    </row>
    <row r="317">
      <c r="G317" s="39"/>
      <c r="I317" s="39"/>
      <c r="K317" s="39"/>
    </row>
    <row r="318">
      <c r="G318" s="39"/>
      <c r="I318" s="39"/>
      <c r="K318" s="39"/>
    </row>
    <row r="319">
      <c r="G319" s="39"/>
      <c r="I319" s="39"/>
      <c r="K319" s="39"/>
    </row>
    <row r="320">
      <c r="G320" s="39"/>
      <c r="I320" s="39"/>
      <c r="K320" s="39"/>
    </row>
    <row r="321">
      <c r="G321" s="39"/>
      <c r="I321" s="39"/>
      <c r="K321" s="39"/>
    </row>
    <row r="322">
      <c r="G322" s="39"/>
      <c r="I322" s="39"/>
      <c r="K322" s="39"/>
    </row>
    <row r="323">
      <c r="G323" s="39"/>
      <c r="I323" s="39"/>
      <c r="K323" s="39"/>
    </row>
    <row r="324">
      <c r="G324" s="39"/>
      <c r="I324" s="39"/>
      <c r="K324" s="39"/>
    </row>
    <row r="325">
      <c r="G325" s="39"/>
      <c r="I325" s="39"/>
      <c r="K325" s="39"/>
    </row>
    <row r="326">
      <c r="G326" s="39"/>
      <c r="I326" s="39"/>
      <c r="K326" s="39"/>
    </row>
    <row r="327">
      <c r="G327" s="39"/>
      <c r="I327" s="39"/>
      <c r="K327" s="39"/>
    </row>
    <row r="328">
      <c r="G328" s="39"/>
      <c r="I328" s="39"/>
      <c r="K328" s="39"/>
    </row>
    <row r="329">
      <c r="G329" s="39"/>
      <c r="I329" s="39"/>
      <c r="K329" s="39"/>
    </row>
    <row r="330">
      <c r="G330" s="39"/>
      <c r="I330" s="39"/>
      <c r="K330" s="39"/>
    </row>
    <row r="331">
      <c r="G331" s="39"/>
      <c r="I331" s="39"/>
      <c r="K331" s="39"/>
    </row>
    <row r="332">
      <c r="G332" s="39"/>
      <c r="I332" s="39"/>
      <c r="K332" s="39"/>
    </row>
    <row r="333">
      <c r="G333" s="39"/>
      <c r="I333" s="39"/>
      <c r="K333" s="39"/>
    </row>
    <row r="334">
      <c r="G334" s="39"/>
      <c r="I334" s="39"/>
      <c r="K334" s="39"/>
    </row>
    <row r="335">
      <c r="G335" s="39"/>
      <c r="I335" s="39"/>
      <c r="K335" s="39"/>
    </row>
    <row r="336">
      <c r="G336" s="39"/>
      <c r="I336" s="39"/>
      <c r="K336" s="39"/>
    </row>
    <row r="337">
      <c r="G337" s="39"/>
      <c r="I337" s="39"/>
      <c r="K337" s="39"/>
    </row>
    <row r="338">
      <c r="G338" s="39"/>
      <c r="I338" s="39"/>
      <c r="K338" s="39"/>
    </row>
    <row r="339">
      <c r="G339" s="39"/>
      <c r="I339" s="39"/>
      <c r="K339" s="39"/>
    </row>
    <row r="340">
      <c r="G340" s="39"/>
      <c r="I340" s="39"/>
      <c r="K340" s="39"/>
    </row>
    <row r="341">
      <c r="G341" s="39"/>
      <c r="I341" s="39"/>
      <c r="K341" s="39"/>
    </row>
    <row r="342">
      <c r="G342" s="39"/>
      <c r="I342" s="39"/>
      <c r="K342" s="39"/>
    </row>
    <row r="343">
      <c r="G343" s="39"/>
      <c r="I343" s="39"/>
      <c r="K343" s="39"/>
    </row>
    <row r="344">
      <c r="G344" s="39"/>
      <c r="I344" s="39"/>
      <c r="K344" s="39"/>
    </row>
    <row r="345">
      <c r="G345" s="39"/>
      <c r="I345" s="39"/>
      <c r="K345" s="39"/>
    </row>
    <row r="346">
      <c r="G346" s="39"/>
      <c r="I346" s="39"/>
      <c r="K346" s="39"/>
    </row>
    <row r="347">
      <c r="G347" s="39"/>
      <c r="I347" s="39"/>
      <c r="K347" s="39"/>
    </row>
    <row r="348">
      <c r="G348" s="39"/>
      <c r="I348" s="39"/>
      <c r="K348" s="39"/>
    </row>
    <row r="349">
      <c r="G349" s="39"/>
      <c r="I349" s="39"/>
      <c r="K349" s="39"/>
    </row>
    <row r="350">
      <c r="G350" s="39"/>
      <c r="I350" s="39"/>
      <c r="K350" s="39"/>
    </row>
    <row r="351">
      <c r="G351" s="39"/>
      <c r="I351" s="39"/>
      <c r="K351" s="39"/>
    </row>
    <row r="352">
      <c r="G352" s="39"/>
      <c r="I352" s="39"/>
      <c r="K352" s="39"/>
    </row>
    <row r="353">
      <c r="G353" s="39"/>
      <c r="I353" s="39"/>
      <c r="K353" s="39"/>
    </row>
    <row r="354">
      <c r="G354" s="39"/>
      <c r="I354" s="39"/>
      <c r="K354" s="39"/>
    </row>
    <row r="355">
      <c r="G355" s="39"/>
      <c r="I355" s="39"/>
      <c r="K355" s="39"/>
    </row>
    <row r="356">
      <c r="G356" s="39"/>
      <c r="I356" s="39"/>
      <c r="K356" s="39"/>
    </row>
    <row r="357">
      <c r="G357" s="39"/>
      <c r="I357" s="39"/>
      <c r="K357" s="39"/>
    </row>
    <row r="358">
      <c r="G358" s="39"/>
      <c r="I358" s="39"/>
      <c r="K358" s="39"/>
    </row>
    <row r="359">
      <c r="G359" s="39"/>
      <c r="I359" s="39"/>
      <c r="K359" s="39"/>
    </row>
    <row r="360">
      <c r="G360" s="39"/>
      <c r="I360" s="39"/>
      <c r="K360" s="39"/>
    </row>
    <row r="361">
      <c r="G361" s="39"/>
      <c r="I361" s="39"/>
      <c r="K361" s="39"/>
    </row>
    <row r="362">
      <c r="G362" s="39"/>
      <c r="I362" s="39"/>
      <c r="K362" s="39"/>
    </row>
    <row r="363">
      <c r="G363" s="39"/>
      <c r="I363" s="39"/>
      <c r="K363" s="39"/>
    </row>
    <row r="364">
      <c r="G364" s="39"/>
      <c r="I364" s="39"/>
      <c r="K364" s="39"/>
    </row>
    <row r="365">
      <c r="G365" s="39"/>
      <c r="I365" s="39"/>
      <c r="K365" s="39"/>
    </row>
    <row r="366">
      <c r="G366" s="39"/>
      <c r="I366" s="39"/>
      <c r="K366" s="39"/>
    </row>
    <row r="367">
      <c r="G367" s="39"/>
      <c r="I367" s="39"/>
      <c r="K367" s="39"/>
    </row>
    <row r="368">
      <c r="G368" s="39"/>
      <c r="I368" s="39"/>
      <c r="K368" s="39"/>
    </row>
    <row r="369">
      <c r="G369" s="39"/>
      <c r="I369" s="39"/>
      <c r="K369" s="39"/>
    </row>
    <row r="370">
      <c r="G370" s="39"/>
      <c r="I370" s="39"/>
      <c r="K370" s="39"/>
    </row>
    <row r="371">
      <c r="G371" s="39"/>
      <c r="I371" s="39"/>
      <c r="K371" s="39"/>
    </row>
    <row r="372">
      <c r="G372" s="39"/>
      <c r="I372" s="39"/>
      <c r="K372" s="39"/>
    </row>
    <row r="373">
      <c r="G373" s="39"/>
      <c r="I373" s="39"/>
      <c r="K373" s="39"/>
    </row>
    <row r="374">
      <c r="G374" s="39"/>
      <c r="I374" s="39"/>
      <c r="K374" s="39"/>
    </row>
    <row r="375">
      <c r="G375" s="39"/>
      <c r="I375" s="39"/>
      <c r="K375" s="39"/>
    </row>
    <row r="376">
      <c r="G376" s="39"/>
      <c r="I376" s="39"/>
      <c r="K376" s="39"/>
    </row>
    <row r="377">
      <c r="G377" s="39"/>
      <c r="I377" s="39"/>
      <c r="K377" s="39"/>
    </row>
    <row r="378">
      <c r="G378" s="39"/>
      <c r="I378" s="39"/>
      <c r="K378" s="39"/>
    </row>
    <row r="379">
      <c r="G379" s="39"/>
      <c r="I379" s="39"/>
      <c r="K379" s="39"/>
    </row>
    <row r="380">
      <c r="G380" s="39"/>
      <c r="I380" s="39"/>
      <c r="K380" s="39"/>
    </row>
    <row r="381">
      <c r="G381" s="39"/>
      <c r="I381" s="39"/>
      <c r="K381" s="39"/>
    </row>
    <row r="382">
      <c r="G382" s="39"/>
      <c r="I382" s="39"/>
      <c r="K382" s="39"/>
    </row>
    <row r="383">
      <c r="G383" s="39"/>
      <c r="I383" s="39"/>
      <c r="K383" s="39"/>
    </row>
    <row r="384">
      <c r="G384" s="39"/>
      <c r="I384" s="39"/>
      <c r="K384" s="39"/>
    </row>
    <row r="385">
      <c r="G385" s="39"/>
      <c r="I385" s="39"/>
      <c r="K385" s="39"/>
    </row>
    <row r="386">
      <c r="G386" s="39"/>
      <c r="I386" s="39"/>
      <c r="K386" s="39"/>
    </row>
    <row r="387">
      <c r="G387" s="39"/>
      <c r="I387" s="39"/>
      <c r="K387" s="39"/>
    </row>
    <row r="388">
      <c r="G388" s="39"/>
      <c r="I388" s="39"/>
      <c r="K388" s="39"/>
    </row>
    <row r="389">
      <c r="G389" s="39"/>
      <c r="I389" s="39"/>
      <c r="K389" s="39"/>
    </row>
    <row r="390">
      <c r="G390" s="39"/>
      <c r="I390" s="39"/>
      <c r="K390" s="39"/>
    </row>
    <row r="391">
      <c r="G391" s="39"/>
      <c r="I391" s="39"/>
      <c r="K391" s="39"/>
    </row>
    <row r="392">
      <c r="G392" s="39"/>
      <c r="I392" s="39"/>
      <c r="K392" s="39"/>
    </row>
    <row r="393">
      <c r="G393" s="39"/>
      <c r="I393" s="39"/>
      <c r="K393" s="39"/>
    </row>
    <row r="394">
      <c r="G394" s="39"/>
      <c r="I394" s="39"/>
      <c r="K394" s="39"/>
    </row>
    <row r="395">
      <c r="G395" s="39"/>
      <c r="I395" s="39"/>
      <c r="K395" s="39"/>
    </row>
    <row r="396">
      <c r="G396" s="39"/>
      <c r="I396" s="39"/>
      <c r="K396" s="39"/>
    </row>
    <row r="397">
      <c r="G397" s="39"/>
      <c r="I397" s="39"/>
      <c r="K397" s="39"/>
    </row>
    <row r="398">
      <c r="G398" s="39"/>
      <c r="I398" s="39"/>
      <c r="K398" s="39"/>
    </row>
    <row r="399">
      <c r="G399" s="39"/>
      <c r="I399" s="39"/>
      <c r="K399" s="39"/>
    </row>
    <row r="400">
      <c r="G400" s="39"/>
      <c r="I400" s="39"/>
      <c r="K400" s="39"/>
    </row>
    <row r="401">
      <c r="G401" s="39"/>
      <c r="I401" s="39"/>
      <c r="K401" s="39"/>
    </row>
    <row r="402">
      <c r="G402" s="39"/>
      <c r="I402" s="39"/>
      <c r="K402" s="39"/>
    </row>
    <row r="403">
      <c r="G403" s="39"/>
      <c r="I403" s="39"/>
      <c r="K403" s="39"/>
    </row>
    <row r="404">
      <c r="G404" s="39"/>
      <c r="I404" s="39"/>
      <c r="K404" s="39"/>
    </row>
    <row r="405">
      <c r="G405" s="39"/>
      <c r="I405" s="39"/>
      <c r="K405" s="39"/>
    </row>
    <row r="406">
      <c r="G406" s="39"/>
      <c r="I406" s="39"/>
      <c r="K406" s="39"/>
    </row>
    <row r="407">
      <c r="G407" s="39"/>
      <c r="I407" s="39"/>
      <c r="K407" s="39"/>
    </row>
    <row r="408">
      <c r="G408" s="39"/>
      <c r="I408" s="39"/>
      <c r="K408" s="39"/>
    </row>
    <row r="409">
      <c r="G409" s="39"/>
      <c r="I409" s="39"/>
      <c r="K409" s="39"/>
    </row>
    <row r="410">
      <c r="G410" s="39"/>
      <c r="I410" s="39"/>
      <c r="K410" s="39"/>
    </row>
    <row r="411">
      <c r="G411" s="39"/>
      <c r="I411" s="39"/>
      <c r="K411" s="39"/>
    </row>
    <row r="412">
      <c r="G412" s="39"/>
      <c r="I412" s="39"/>
      <c r="K412" s="39"/>
    </row>
    <row r="413">
      <c r="G413" s="39"/>
      <c r="I413" s="39"/>
      <c r="K413" s="39"/>
    </row>
    <row r="414">
      <c r="G414" s="39"/>
      <c r="I414" s="39"/>
      <c r="K414" s="39"/>
    </row>
    <row r="415">
      <c r="G415" s="39"/>
      <c r="I415" s="39"/>
      <c r="K415" s="39"/>
    </row>
    <row r="416">
      <c r="G416" s="39"/>
      <c r="I416" s="39"/>
      <c r="K416" s="39"/>
    </row>
    <row r="417">
      <c r="G417" s="39"/>
      <c r="I417" s="39"/>
      <c r="K417" s="39"/>
    </row>
    <row r="418">
      <c r="G418" s="39"/>
      <c r="I418" s="39"/>
      <c r="K418" s="39"/>
    </row>
    <row r="419">
      <c r="G419" s="39"/>
      <c r="I419" s="39"/>
      <c r="K419" s="39"/>
    </row>
    <row r="420">
      <c r="G420" s="39"/>
      <c r="I420" s="39"/>
      <c r="K420" s="39"/>
    </row>
    <row r="421">
      <c r="G421" s="39"/>
      <c r="I421" s="39"/>
      <c r="K421" s="39"/>
    </row>
    <row r="422">
      <c r="G422" s="39"/>
      <c r="I422" s="39"/>
      <c r="K422" s="39"/>
    </row>
    <row r="423">
      <c r="G423" s="39"/>
      <c r="I423" s="39"/>
      <c r="K423" s="39"/>
    </row>
    <row r="424">
      <c r="G424" s="39"/>
      <c r="I424" s="39"/>
      <c r="K424" s="39"/>
    </row>
    <row r="425">
      <c r="G425" s="39"/>
      <c r="I425" s="39"/>
      <c r="K425" s="39"/>
    </row>
    <row r="426">
      <c r="G426" s="39"/>
      <c r="I426" s="39"/>
      <c r="K426" s="39"/>
    </row>
    <row r="427">
      <c r="G427" s="39"/>
      <c r="I427" s="39"/>
      <c r="K427" s="39"/>
    </row>
    <row r="428">
      <c r="G428" s="39"/>
      <c r="I428" s="39"/>
      <c r="K428" s="39"/>
    </row>
    <row r="429">
      <c r="G429" s="39"/>
      <c r="I429" s="39"/>
      <c r="K429" s="39"/>
    </row>
    <row r="430">
      <c r="G430" s="39"/>
      <c r="I430" s="39"/>
      <c r="K430" s="39"/>
    </row>
    <row r="431">
      <c r="G431" s="39"/>
      <c r="I431" s="39"/>
      <c r="K431" s="39"/>
    </row>
    <row r="432">
      <c r="G432" s="39"/>
      <c r="I432" s="39"/>
      <c r="K432" s="39"/>
    </row>
    <row r="433">
      <c r="G433" s="39"/>
      <c r="I433" s="39"/>
      <c r="K433" s="39"/>
    </row>
    <row r="434">
      <c r="G434" s="39"/>
      <c r="I434" s="39"/>
      <c r="K434" s="39"/>
    </row>
    <row r="435">
      <c r="G435" s="39"/>
      <c r="I435" s="39"/>
      <c r="K435" s="39"/>
    </row>
    <row r="436">
      <c r="G436" s="39"/>
      <c r="I436" s="39"/>
      <c r="K436" s="39"/>
    </row>
    <row r="437">
      <c r="G437" s="39"/>
      <c r="I437" s="39"/>
      <c r="K437" s="39"/>
    </row>
    <row r="438">
      <c r="G438" s="39"/>
      <c r="I438" s="39"/>
      <c r="K438" s="39"/>
    </row>
    <row r="439">
      <c r="G439" s="39"/>
      <c r="I439" s="39"/>
      <c r="K439" s="39"/>
    </row>
    <row r="440">
      <c r="G440" s="39"/>
      <c r="I440" s="39"/>
      <c r="K440" s="39"/>
    </row>
    <row r="441">
      <c r="G441" s="39"/>
      <c r="I441" s="39"/>
      <c r="K441" s="39"/>
    </row>
    <row r="442">
      <c r="G442" s="39"/>
      <c r="I442" s="39"/>
      <c r="K442" s="39"/>
    </row>
    <row r="443">
      <c r="G443" s="39"/>
      <c r="I443" s="39"/>
      <c r="K443" s="39"/>
    </row>
    <row r="444">
      <c r="G444" s="39"/>
      <c r="I444" s="39"/>
      <c r="K444" s="39"/>
    </row>
    <row r="445">
      <c r="G445" s="39"/>
      <c r="I445" s="39"/>
      <c r="K445" s="39"/>
    </row>
    <row r="446">
      <c r="G446" s="39"/>
      <c r="I446" s="39"/>
      <c r="K446" s="39"/>
    </row>
    <row r="447">
      <c r="G447" s="39"/>
      <c r="I447" s="39"/>
      <c r="K447" s="39"/>
    </row>
    <row r="448">
      <c r="G448" s="39"/>
      <c r="I448" s="39"/>
      <c r="K448" s="39"/>
    </row>
    <row r="449">
      <c r="G449" s="39"/>
      <c r="I449" s="39"/>
      <c r="K449" s="39"/>
    </row>
    <row r="450">
      <c r="G450" s="39"/>
      <c r="I450" s="39"/>
      <c r="K450" s="39"/>
    </row>
    <row r="451">
      <c r="G451" s="39"/>
      <c r="I451" s="39"/>
      <c r="K451" s="39"/>
    </row>
    <row r="452">
      <c r="G452" s="39"/>
      <c r="I452" s="39"/>
      <c r="K452" s="39"/>
    </row>
    <row r="453">
      <c r="G453" s="39"/>
      <c r="I453" s="39"/>
      <c r="K453" s="39"/>
    </row>
    <row r="454">
      <c r="G454" s="39"/>
      <c r="I454" s="39"/>
      <c r="K454" s="39"/>
    </row>
    <row r="455">
      <c r="G455" s="39"/>
      <c r="I455" s="39"/>
      <c r="K455" s="39"/>
    </row>
    <row r="456">
      <c r="G456" s="39"/>
      <c r="I456" s="39"/>
      <c r="K456" s="39"/>
    </row>
    <row r="457">
      <c r="G457" s="39"/>
      <c r="I457" s="39"/>
      <c r="K457" s="39"/>
    </row>
    <row r="458">
      <c r="G458" s="39"/>
      <c r="I458" s="39"/>
      <c r="K458" s="39"/>
    </row>
    <row r="459">
      <c r="G459" s="39"/>
      <c r="I459" s="39"/>
      <c r="K459" s="39"/>
    </row>
    <row r="460">
      <c r="G460" s="39"/>
      <c r="I460" s="39"/>
      <c r="K460" s="39"/>
    </row>
    <row r="461">
      <c r="G461" s="39"/>
      <c r="I461" s="39"/>
      <c r="K461" s="39"/>
    </row>
    <row r="462">
      <c r="G462" s="39"/>
      <c r="I462" s="39"/>
      <c r="K462" s="39"/>
    </row>
    <row r="463">
      <c r="G463" s="39"/>
      <c r="I463" s="39"/>
      <c r="K463" s="39"/>
    </row>
    <row r="464">
      <c r="G464" s="39"/>
      <c r="I464" s="39"/>
      <c r="K464" s="39"/>
    </row>
    <row r="465">
      <c r="G465" s="39"/>
      <c r="I465" s="39"/>
      <c r="K465" s="39"/>
    </row>
    <row r="466">
      <c r="G466" s="39"/>
      <c r="I466" s="39"/>
      <c r="K466" s="39"/>
    </row>
    <row r="467">
      <c r="G467" s="39"/>
      <c r="I467" s="39"/>
      <c r="K467" s="39"/>
    </row>
    <row r="468">
      <c r="G468" s="39"/>
      <c r="I468" s="39"/>
      <c r="K468" s="39"/>
    </row>
    <row r="469">
      <c r="G469" s="39"/>
      <c r="I469" s="39"/>
      <c r="K469" s="39"/>
    </row>
    <row r="470">
      <c r="G470" s="39"/>
      <c r="I470" s="39"/>
      <c r="K470" s="39"/>
    </row>
    <row r="471">
      <c r="G471" s="39"/>
      <c r="I471" s="39"/>
      <c r="K471" s="39"/>
    </row>
    <row r="472">
      <c r="G472" s="39"/>
      <c r="I472" s="39"/>
      <c r="K472" s="39"/>
    </row>
    <row r="473">
      <c r="G473" s="39"/>
      <c r="I473" s="39"/>
      <c r="K473" s="39"/>
    </row>
    <row r="474">
      <c r="G474" s="39"/>
      <c r="I474" s="39"/>
      <c r="K474" s="39"/>
    </row>
    <row r="475">
      <c r="G475" s="39"/>
      <c r="I475" s="39"/>
      <c r="K475" s="39"/>
    </row>
    <row r="476">
      <c r="G476" s="39"/>
      <c r="I476" s="39"/>
      <c r="K476" s="39"/>
    </row>
    <row r="477">
      <c r="G477" s="39"/>
      <c r="I477" s="39"/>
      <c r="K477" s="39"/>
    </row>
    <row r="478">
      <c r="G478" s="39"/>
      <c r="I478" s="39"/>
      <c r="K478" s="39"/>
    </row>
    <row r="479">
      <c r="G479" s="39"/>
      <c r="I479" s="39"/>
      <c r="K479" s="39"/>
    </row>
    <row r="480">
      <c r="G480" s="39"/>
      <c r="I480" s="39"/>
      <c r="K480" s="39"/>
    </row>
    <row r="481">
      <c r="G481" s="39"/>
      <c r="I481" s="39"/>
      <c r="K481" s="39"/>
    </row>
    <row r="482">
      <c r="G482" s="39"/>
      <c r="I482" s="39"/>
      <c r="K482" s="39"/>
    </row>
    <row r="483">
      <c r="G483" s="39"/>
      <c r="I483" s="39"/>
      <c r="K483" s="39"/>
    </row>
    <row r="484">
      <c r="G484" s="39"/>
      <c r="I484" s="39"/>
      <c r="K484" s="39"/>
    </row>
    <row r="485">
      <c r="G485" s="39"/>
      <c r="I485" s="39"/>
      <c r="K485" s="39"/>
    </row>
    <row r="486">
      <c r="G486" s="39"/>
      <c r="I486" s="39"/>
      <c r="K486" s="39"/>
    </row>
    <row r="487">
      <c r="G487" s="39"/>
      <c r="I487" s="39"/>
      <c r="K487" s="39"/>
    </row>
    <row r="488">
      <c r="G488" s="39"/>
      <c r="I488" s="39"/>
      <c r="K488" s="39"/>
    </row>
    <row r="489">
      <c r="G489" s="39"/>
      <c r="I489" s="39"/>
      <c r="K489" s="39"/>
    </row>
    <row r="490">
      <c r="G490" s="39"/>
      <c r="I490" s="39"/>
      <c r="K490" s="39"/>
    </row>
    <row r="491">
      <c r="G491" s="39"/>
      <c r="I491" s="39"/>
      <c r="K491" s="39"/>
    </row>
    <row r="492">
      <c r="G492" s="39"/>
      <c r="I492" s="39"/>
      <c r="K492" s="39"/>
    </row>
    <row r="493">
      <c r="G493" s="39"/>
      <c r="I493" s="39"/>
      <c r="K493" s="39"/>
    </row>
    <row r="494">
      <c r="G494" s="39"/>
      <c r="I494" s="39"/>
      <c r="K494" s="39"/>
    </row>
    <row r="495">
      <c r="G495" s="39"/>
      <c r="I495" s="39"/>
      <c r="K495" s="39"/>
    </row>
    <row r="496">
      <c r="G496" s="39"/>
      <c r="I496" s="39"/>
      <c r="K496" s="39"/>
    </row>
    <row r="497">
      <c r="G497" s="39"/>
      <c r="I497" s="39"/>
      <c r="K497" s="39"/>
    </row>
    <row r="498">
      <c r="G498" s="39"/>
      <c r="I498" s="39"/>
      <c r="K498" s="39"/>
    </row>
    <row r="499">
      <c r="G499" s="39"/>
      <c r="I499" s="39"/>
      <c r="K499" s="39"/>
    </row>
    <row r="500">
      <c r="G500" s="39"/>
      <c r="I500" s="39"/>
      <c r="K500" s="39"/>
    </row>
    <row r="501">
      <c r="G501" s="39"/>
      <c r="I501" s="39"/>
      <c r="K501" s="39"/>
    </row>
    <row r="502">
      <c r="G502" s="39"/>
      <c r="I502" s="39"/>
      <c r="K502" s="39"/>
    </row>
    <row r="503">
      <c r="G503" s="39"/>
      <c r="I503" s="39"/>
      <c r="K503" s="39"/>
    </row>
    <row r="504">
      <c r="G504" s="39"/>
      <c r="I504" s="39"/>
      <c r="K504" s="39"/>
    </row>
    <row r="505">
      <c r="G505" s="39"/>
      <c r="I505" s="39"/>
      <c r="K505" s="39"/>
    </row>
    <row r="506">
      <c r="G506" s="39"/>
      <c r="I506" s="39"/>
      <c r="K506" s="39"/>
    </row>
    <row r="507">
      <c r="G507" s="39"/>
      <c r="I507" s="39"/>
      <c r="K507" s="39"/>
    </row>
    <row r="508">
      <c r="G508" s="39"/>
      <c r="I508" s="39"/>
      <c r="K508" s="39"/>
    </row>
    <row r="509">
      <c r="G509" s="39"/>
      <c r="I509" s="39"/>
      <c r="K509" s="39"/>
    </row>
    <row r="510">
      <c r="G510" s="39"/>
      <c r="I510" s="39"/>
      <c r="K510" s="39"/>
    </row>
    <row r="511">
      <c r="G511" s="39"/>
      <c r="I511" s="39"/>
      <c r="K511" s="39"/>
    </row>
    <row r="512">
      <c r="G512" s="39"/>
      <c r="I512" s="39"/>
      <c r="K512" s="39"/>
    </row>
    <row r="513">
      <c r="G513" s="39"/>
      <c r="I513" s="39"/>
      <c r="K513" s="39"/>
    </row>
    <row r="514">
      <c r="G514" s="39"/>
      <c r="I514" s="39"/>
      <c r="K514" s="39"/>
    </row>
    <row r="515">
      <c r="G515" s="39"/>
      <c r="I515" s="39"/>
      <c r="K515" s="39"/>
    </row>
    <row r="516">
      <c r="G516" s="39"/>
      <c r="I516" s="39"/>
      <c r="K516" s="39"/>
    </row>
    <row r="517">
      <c r="G517" s="39"/>
      <c r="I517" s="39"/>
      <c r="K517" s="39"/>
    </row>
    <row r="518">
      <c r="G518" s="39"/>
      <c r="I518" s="39"/>
      <c r="K518" s="39"/>
    </row>
    <row r="519">
      <c r="G519" s="39"/>
      <c r="I519" s="39"/>
      <c r="K519" s="39"/>
    </row>
    <row r="520">
      <c r="G520" s="39"/>
      <c r="I520" s="39"/>
      <c r="K520" s="39"/>
    </row>
    <row r="521">
      <c r="G521" s="39"/>
      <c r="I521" s="39"/>
      <c r="K521" s="39"/>
    </row>
    <row r="522">
      <c r="G522" s="39"/>
      <c r="I522" s="39"/>
      <c r="K522" s="39"/>
    </row>
    <row r="523">
      <c r="G523" s="39"/>
      <c r="I523" s="39"/>
      <c r="K523" s="39"/>
    </row>
    <row r="524">
      <c r="G524" s="39"/>
      <c r="I524" s="39"/>
      <c r="K524" s="39"/>
    </row>
    <row r="525">
      <c r="G525" s="39"/>
      <c r="I525" s="39"/>
      <c r="K525" s="39"/>
    </row>
    <row r="526">
      <c r="G526" s="39"/>
      <c r="I526" s="39"/>
      <c r="K526" s="39"/>
    </row>
    <row r="527">
      <c r="G527" s="39"/>
      <c r="I527" s="39"/>
      <c r="K527" s="39"/>
    </row>
    <row r="528">
      <c r="G528" s="39"/>
      <c r="I528" s="39"/>
      <c r="K528" s="39"/>
    </row>
    <row r="529">
      <c r="G529" s="39"/>
      <c r="I529" s="39"/>
      <c r="K529" s="39"/>
    </row>
    <row r="530">
      <c r="G530" s="39"/>
      <c r="I530" s="39"/>
      <c r="K530" s="39"/>
    </row>
    <row r="531">
      <c r="G531" s="39"/>
      <c r="I531" s="39"/>
      <c r="K531" s="39"/>
    </row>
    <row r="532">
      <c r="G532" s="39"/>
      <c r="I532" s="39"/>
      <c r="K532" s="39"/>
    </row>
    <row r="533">
      <c r="G533" s="39"/>
      <c r="I533" s="39"/>
      <c r="K533" s="39"/>
    </row>
    <row r="534">
      <c r="G534" s="39"/>
      <c r="I534" s="39"/>
      <c r="K534" s="39"/>
    </row>
    <row r="535">
      <c r="G535" s="39"/>
      <c r="I535" s="39"/>
      <c r="K535" s="39"/>
    </row>
    <row r="536">
      <c r="G536" s="39"/>
      <c r="I536" s="39"/>
      <c r="K536" s="39"/>
    </row>
    <row r="537">
      <c r="G537" s="39"/>
      <c r="I537" s="39"/>
      <c r="K537" s="39"/>
    </row>
    <row r="538">
      <c r="G538" s="39"/>
      <c r="I538" s="39"/>
      <c r="K538" s="39"/>
    </row>
    <row r="539">
      <c r="G539" s="39"/>
      <c r="I539" s="39"/>
      <c r="K539" s="39"/>
    </row>
    <row r="540">
      <c r="G540" s="39"/>
      <c r="I540" s="39"/>
      <c r="K540" s="39"/>
    </row>
    <row r="541">
      <c r="G541" s="39"/>
      <c r="I541" s="39"/>
      <c r="K541" s="39"/>
    </row>
    <row r="542">
      <c r="G542" s="39"/>
      <c r="I542" s="39"/>
      <c r="K542" s="39"/>
    </row>
    <row r="543">
      <c r="G543" s="39"/>
      <c r="I543" s="39"/>
      <c r="K543" s="39"/>
    </row>
    <row r="544">
      <c r="G544" s="39"/>
      <c r="I544" s="39"/>
      <c r="K544" s="39"/>
    </row>
    <row r="545">
      <c r="G545" s="39"/>
      <c r="I545" s="39"/>
      <c r="K545" s="39"/>
    </row>
    <row r="546">
      <c r="G546" s="39"/>
      <c r="I546" s="39"/>
      <c r="K546" s="39"/>
    </row>
    <row r="547">
      <c r="G547" s="39"/>
      <c r="I547" s="39"/>
      <c r="K547" s="39"/>
    </row>
    <row r="548">
      <c r="G548" s="39"/>
      <c r="I548" s="39"/>
      <c r="K548" s="39"/>
    </row>
    <row r="549">
      <c r="G549" s="39"/>
      <c r="I549" s="39"/>
      <c r="K549" s="39"/>
    </row>
    <row r="550">
      <c r="G550" s="39"/>
      <c r="I550" s="39"/>
      <c r="K550" s="39"/>
    </row>
    <row r="551">
      <c r="G551" s="39"/>
      <c r="I551" s="39"/>
      <c r="K551" s="39"/>
    </row>
    <row r="552">
      <c r="G552" s="39"/>
      <c r="I552" s="39"/>
      <c r="K552" s="39"/>
    </row>
    <row r="553">
      <c r="G553" s="39"/>
      <c r="I553" s="39"/>
      <c r="K553" s="39"/>
    </row>
    <row r="554">
      <c r="G554" s="39"/>
      <c r="I554" s="39"/>
      <c r="K554" s="39"/>
    </row>
    <row r="555">
      <c r="G555" s="39"/>
      <c r="I555" s="39"/>
      <c r="K555" s="39"/>
    </row>
    <row r="556">
      <c r="G556" s="39"/>
      <c r="I556" s="39"/>
      <c r="K556" s="39"/>
    </row>
    <row r="557">
      <c r="G557" s="39"/>
      <c r="I557" s="39"/>
      <c r="K557" s="39"/>
    </row>
    <row r="558">
      <c r="G558" s="39"/>
      <c r="I558" s="39"/>
      <c r="K558" s="39"/>
    </row>
    <row r="559">
      <c r="G559" s="39"/>
      <c r="I559" s="39"/>
      <c r="K559" s="39"/>
    </row>
    <row r="560">
      <c r="G560" s="39"/>
      <c r="I560" s="39"/>
      <c r="K560" s="39"/>
    </row>
    <row r="561">
      <c r="G561" s="39"/>
      <c r="I561" s="39"/>
      <c r="K561" s="39"/>
    </row>
    <row r="562">
      <c r="G562" s="39"/>
      <c r="I562" s="39"/>
      <c r="K562" s="39"/>
    </row>
    <row r="563">
      <c r="G563" s="39"/>
      <c r="I563" s="39"/>
      <c r="K563" s="39"/>
    </row>
    <row r="564">
      <c r="G564" s="39"/>
      <c r="I564" s="39"/>
      <c r="K564" s="39"/>
    </row>
    <row r="565">
      <c r="G565" s="39"/>
      <c r="I565" s="39"/>
      <c r="K565" s="39"/>
    </row>
    <row r="566">
      <c r="G566" s="39"/>
      <c r="I566" s="39"/>
      <c r="K566" s="39"/>
    </row>
    <row r="567">
      <c r="G567" s="39"/>
      <c r="I567" s="39"/>
      <c r="K567" s="39"/>
    </row>
    <row r="568">
      <c r="G568" s="39"/>
      <c r="I568" s="39"/>
      <c r="K568" s="39"/>
    </row>
    <row r="569">
      <c r="G569" s="39"/>
      <c r="I569" s="39"/>
      <c r="K569" s="39"/>
    </row>
    <row r="570">
      <c r="G570" s="39"/>
      <c r="I570" s="39"/>
      <c r="K570" s="39"/>
    </row>
    <row r="571">
      <c r="G571" s="39"/>
      <c r="I571" s="39"/>
      <c r="K571" s="39"/>
    </row>
    <row r="572">
      <c r="G572" s="39"/>
      <c r="I572" s="39"/>
      <c r="K572" s="39"/>
    </row>
    <row r="573">
      <c r="G573" s="39"/>
      <c r="I573" s="39"/>
      <c r="K573" s="39"/>
    </row>
    <row r="574">
      <c r="G574" s="39"/>
      <c r="I574" s="39"/>
      <c r="K574" s="39"/>
    </row>
    <row r="575">
      <c r="G575" s="39"/>
      <c r="I575" s="39"/>
      <c r="K575" s="39"/>
    </row>
    <row r="576">
      <c r="G576" s="39"/>
      <c r="I576" s="39"/>
      <c r="K576" s="39"/>
    </row>
    <row r="577">
      <c r="G577" s="39"/>
      <c r="I577" s="39"/>
      <c r="K577" s="39"/>
    </row>
    <row r="578">
      <c r="G578" s="39"/>
      <c r="I578" s="39"/>
      <c r="K578" s="39"/>
    </row>
    <row r="579">
      <c r="G579" s="39"/>
      <c r="I579" s="39"/>
      <c r="K579" s="39"/>
    </row>
    <row r="580">
      <c r="G580" s="39"/>
      <c r="I580" s="39"/>
      <c r="K580" s="39"/>
    </row>
    <row r="581">
      <c r="G581" s="39"/>
      <c r="I581" s="39"/>
      <c r="K581" s="39"/>
    </row>
    <row r="582">
      <c r="G582" s="39"/>
      <c r="I582" s="39"/>
      <c r="K582" s="39"/>
    </row>
    <row r="583">
      <c r="G583" s="39"/>
      <c r="I583" s="39"/>
      <c r="K583" s="39"/>
    </row>
    <row r="584">
      <c r="G584" s="39"/>
      <c r="I584" s="39"/>
      <c r="K584" s="39"/>
    </row>
    <row r="585">
      <c r="G585" s="39"/>
      <c r="I585" s="39"/>
      <c r="K585" s="39"/>
    </row>
    <row r="586">
      <c r="G586" s="39"/>
      <c r="I586" s="39"/>
      <c r="K586" s="39"/>
    </row>
    <row r="587">
      <c r="G587" s="39"/>
      <c r="I587" s="39"/>
      <c r="K587" s="39"/>
    </row>
    <row r="588">
      <c r="G588" s="39"/>
      <c r="I588" s="39"/>
      <c r="K588" s="39"/>
    </row>
    <row r="589">
      <c r="G589" s="39"/>
      <c r="I589" s="39"/>
      <c r="K589" s="39"/>
    </row>
    <row r="590">
      <c r="G590" s="39"/>
      <c r="I590" s="39"/>
      <c r="K590" s="39"/>
    </row>
    <row r="591">
      <c r="G591" s="39"/>
      <c r="I591" s="39"/>
      <c r="K591" s="39"/>
    </row>
    <row r="592">
      <c r="G592" s="39"/>
      <c r="I592" s="39"/>
      <c r="K592" s="39"/>
    </row>
    <row r="593">
      <c r="G593" s="39"/>
      <c r="I593" s="39"/>
      <c r="K593" s="39"/>
    </row>
    <row r="594">
      <c r="G594" s="39"/>
      <c r="I594" s="39"/>
      <c r="K594" s="39"/>
    </row>
    <row r="595">
      <c r="G595" s="39"/>
      <c r="I595" s="39"/>
      <c r="K595" s="39"/>
    </row>
    <row r="596">
      <c r="G596" s="39"/>
      <c r="I596" s="39"/>
      <c r="K596" s="39"/>
    </row>
    <row r="597">
      <c r="G597" s="39"/>
      <c r="I597" s="39"/>
      <c r="K597" s="39"/>
    </row>
    <row r="598">
      <c r="G598" s="39"/>
      <c r="I598" s="39"/>
      <c r="K598" s="39"/>
    </row>
    <row r="599">
      <c r="G599" s="39"/>
      <c r="I599" s="39"/>
      <c r="K599" s="39"/>
    </row>
    <row r="600">
      <c r="G600" s="39"/>
      <c r="I600" s="39"/>
      <c r="K600" s="39"/>
    </row>
    <row r="601">
      <c r="G601" s="39"/>
      <c r="I601" s="39"/>
      <c r="K601" s="39"/>
    </row>
    <row r="602">
      <c r="G602" s="39"/>
      <c r="I602" s="39"/>
      <c r="K602" s="39"/>
    </row>
    <row r="603">
      <c r="G603" s="39"/>
      <c r="I603" s="39"/>
      <c r="K603" s="39"/>
    </row>
    <row r="604">
      <c r="G604" s="39"/>
      <c r="I604" s="39"/>
      <c r="K604" s="39"/>
    </row>
    <row r="605">
      <c r="G605" s="39"/>
      <c r="I605" s="39"/>
      <c r="K605" s="39"/>
    </row>
    <row r="606">
      <c r="G606" s="39"/>
      <c r="I606" s="39"/>
      <c r="K606" s="39"/>
    </row>
    <row r="607">
      <c r="G607" s="39"/>
      <c r="I607" s="39"/>
      <c r="K607" s="39"/>
    </row>
    <row r="608">
      <c r="G608" s="39"/>
      <c r="I608" s="39"/>
      <c r="K608" s="39"/>
    </row>
    <row r="609">
      <c r="G609" s="39"/>
      <c r="I609" s="39"/>
      <c r="K609" s="39"/>
    </row>
    <row r="610">
      <c r="G610" s="39"/>
      <c r="I610" s="39"/>
      <c r="K610" s="39"/>
    </row>
    <row r="611">
      <c r="G611" s="39"/>
      <c r="I611" s="39"/>
      <c r="K611" s="39"/>
    </row>
    <row r="612">
      <c r="G612" s="39"/>
      <c r="I612" s="39"/>
      <c r="K612" s="39"/>
    </row>
    <row r="613">
      <c r="G613" s="39"/>
      <c r="I613" s="39"/>
      <c r="K613" s="39"/>
    </row>
    <row r="614">
      <c r="G614" s="39"/>
      <c r="I614" s="39"/>
      <c r="K614" s="39"/>
    </row>
    <row r="615">
      <c r="G615" s="39"/>
      <c r="I615" s="39"/>
      <c r="K615" s="39"/>
    </row>
    <row r="616">
      <c r="G616" s="39"/>
      <c r="I616" s="39"/>
      <c r="K616" s="39"/>
    </row>
    <row r="617">
      <c r="G617" s="39"/>
      <c r="I617" s="39"/>
      <c r="K617" s="39"/>
    </row>
    <row r="618">
      <c r="G618" s="39"/>
      <c r="I618" s="39"/>
      <c r="K618" s="39"/>
    </row>
    <row r="619">
      <c r="G619" s="39"/>
      <c r="I619" s="39"/>
      <c r="K619" s="39"/>
    </row>
    <row r="620">
      <c r="G620" s="39"/>
      <c r="I620" s="39"/>
      <c r="K620" s="39"/>
    </row>
    <row r="621">
      <c r="G621" s="39"/>
      <c r="I621" s="39"/>
      <c r="K621" s="39"/>
    </row>
    <row r="622">
      <c r="G622" s="39"/>
      <c r="I622" s="39"/>
      <c r="K622" s="39"/>
    </row>
    <row r="623">
      <c r="G623" s="39"/>
      <c r="I623" s="39"/>
      <c r="K623" s="39"/>
    </row>
    <row r="624">
      <c r="G624" s="39"/>
      <c r="I624" s="39"/>
      <c r="K624" s="39"/>
    </row>
    <row r="625">
      <c r="G625" s="39"/>
      <c r="I625" s="39"/>
      <c r="K625" s="39"/>
    </row>
    <row r="626">
      <c r="G626" s="39"/>
      <c r="I626" s="39"/>
      <c r="K626" s="39"/>
    </row>
    <row r="627">
      <c r="G627" s="39"/>
      <c r="I627" s="39"/>
      <c r="K627" s="39"/>
    </row>
    <row r="628">
      <c r="G628" s="39"/>
      <c r="I628" s="39"/>
      <c r="K628" s="39"/>
    </row>
    <row r="629">
      <c r="G629" s="39"/>
      <c r="I629" s="39"/>
      <c r="K629" s="39"/>
    </row>
    <row r="630">
      <c r="G630" s="39"/>
      <c r="I630" s="39"/>
      <c r="K630" s="39"/>
    </row>
    <row r="631">
      <c r="G631" s="39"/>
      <c r="I631" s="39"/>
      <c r="K631" s="39"/>
    </row>
    <row r="632">
      <c r="G632" s="39"/>
      <c r="I632" s="39"/>
      <c r="K632" s="39"/>
    </row>
    <row r="633">
      <c r="G633" s="39"/>
      <c r="I633" s="39"/>
      <c r="K633" s="39"/>
    </row>
    <row r="634">
      <c r="G634" s="39"/>
      <c r="I634" s="39"/>
      <c r="K634" s="39"/>
    </row>
    <row r="635">
      <c r="G635" s="39"/>
      <c r="I635" s="39"/>
      <c r="K635" s="39"/>
    </row>
    <row r="636">
      <c r="G636" s="39"/>
      <c r="I636" s="39"/>
      <c r="K636" s="39"/>
    </row>
    <row r="637">
      <c r="G637" s="39"/>
      <c r="I637" s="39"/>
      <c r="K637" s="39"/>
    </row>
    <row r="638">
      <c r="G638" s="39"/>
      <c r="I638" s="39"/>
      <c r="K638" s="39"/>
    </row>
    <row r="639">
      <c r="G639" s="39"/>
      <c r="I639" s="39"/>
      <c r="K639" s="39"/>
    </row>
    <row r="640">
      <c r="G640" s="39"/>
      <c r="I640" s="39"/>
      <c r="K640" s="39"/>
    </row>
    <row r="641">
      <c r="G641" s="39"/>
      <c r="I641" s="39"/>
      <c r="K641" s="39"/>
    </row>
    <row r="642">
      <c r="G642" s="39"/>
      <c r="I642" s="39"/>
      <c r="K642" s="39"/>
    </row>
    <row r="643">
      <c r="G643" s="39"/>
      <c r="I643" s="39"/>
      <c r="K643" s="39"/>
    </row>
    <row r="644">
      <c r="G644" s="39"/>
      <c r="I644" s="39"/>
      <c r="K644" s="39"/>
    </row>
    <row r="645">
      <c r="G645" s="39"/>
      <c r="I645" s="39"/>
      <c r="K645" s="39"/>
    </row>
    <row r="646">
      <c r="G646" s="39"/>
      <c r="I646" s="39"/>
      <c r="K646" s="39"/>
    </row>
    <row r="647">
      <c r="G647" s="39"/>
      <c r="I647" s="39"/>
      <c r="K647" s="39"/>
    </row>
    <row r="648">
      <c r="G648" s="39"/>
      <c r="I648" s="39"/>
      <c r="K648" s="39"/>
    </row>
    <row r="649">
      <c r="G649" s="39"/>
      <c r="I649" s="39"/>
      <c r="K649" s="39"/>
    </row>
    <row r="650">
      <c r="G650" s="39"/>
      <c r="I650" s="39"/>
      <c r="K650" s="39"/>
    </row>
    <row r="651">
      <c r="G651" s="39"/>
      <c r="I651" s="39"/>
      <c r="K651" s="39"/>
    </row>
    <row r="652">
      <c r="G652" s="39"/>
      <c r="I652" s="39"/>
      <c r="K652" s="39"/>
    </row>
    <row r="653">
      <c r="G653" s="39"/>
      <c r="I653" s="39"/>
      <c r="K653" s="39"/>
    </row>
    <row r="654">
      <c r="G654" s="39"/>
      <c r="I654" s="39"/>
      <c r="K654" s="39"/>
    </row>
    <row r="655">
      <c r="G655" s="39"/>
      <c r="I655" s="39"/>
      <c r="K655" s="39"/>
    </row>
    <row r="656">
      <c r="G656" s="39"/>
      <c r="I656" s="39"/>
      <c r="K656" s="39"/>
    </row>
    <row r="657">
      <c r="G657" s="39"/>
      <c r="I657" s="39"/>
      <c r="K657" s="39"/>
    </row>
    <row r="658">
      <c r="G658" s="39"/>
      <c r="I658" s="39"/>
      <c r="K658" s="39"/>
    </row>
    <row r="659">
      <c r="G659" s="39"/>
      <c r="I659" s="39"/>
      <c r="K659" s="39"/>
    </row>
    <row r="660">
      <c r="G660" s="39"/>
      <c r="I660" s="39"/>
      <c r="K660" s="39"/>
    </row>
    <row r="661">
      <c r="G661" s="39"/>
      <c r="I661" s="39"/>
      <c r="K661" s="39"/>
    </row>
    <row r="662">
      <c r="G662" s="39"/>
      <c r="I662" s="39"/>
      <c r="K662" s="39"/>
    </row>
    <row r="663">
      <c r="G663" s="39"/>
      <c r="I663" s="39"/>
      <c r="K663" s="39"/>
    </row>
    <row r="664">
      <c r="G664" s="39"/>
      <c r="I664" s="39"/>
      <c r="K664" s="39"/>
    </row>
    <row r="665">
      <c r="G665" s="39"/>
      <c r="I665" s="39"/>
      <c r="K665" s="39"/>
    </row>
    <row r="666">
      <c r="G666" s="39"/>
      <c r="I666" s="39"/>
      <c r="K666" s="39"/>
    </row>
    <row r="667">
      <c r="G667" s="39"/>
      <c r="I667" s="39"/>
      <c r="K667" s="39"/>
    </row>
    <row r="668">
      <c r="G668" s="39"/>
      <c r="I668" s="39"/>
      <c r="K668" s="39"/>
    </row>
    <row r="669">
      <c r="G669" s="39"/>
      <c r="I669" s="39"/>
      <c r="K669" s="39"/>
    </row>
    <row r="670">
      <c r="G670" s="39"/>
      <c r="I670" s="39"/>
      <c r="K670" s="39"/>
    </row>
    <row r="671">
      <c r="G671" s="39"/>
      <c r="I671" s="39"/>
      <c r="K671" s="39"/>
    </row>
    <row r="672">
      <c r="G672" s="39"/>
      <c r="I672" s="39"/>
      <c r="K672" s="39"/>
    </row>
    <row r="673">
      <c r="G673" s="39"/>
      <c r="I673" s="39"/>
      <c r="K673" s="39"/>
    </row>
    <row r="674">
      <c r="G674" s="39"/>
      <c r="I674" s="39"/>
      <c r="K674" s="39"/>
    </row>
    <row r="675">
      <c r="G675" s="39"/>
      <c r="I675" s="39"/>
      <c r="K675" s="39"/>
    </row>
    <row r="676">
      <c r="G676" s="39"/>
      <c r="I676" s="39"/>
      <c r="K676" s="39"/>
    </row>
    <row r="677">
      <c r="G677" s="39"/>
      <c r="I677" s="39"/>
      <c r="K677" s="39"/>
    </row>
    <row r="678">
      <c r="G678" s="39"/>
      <c r="I678" s="39"/>
      <c r="K678" s="39"/>
    </row>
    <row r="679">
      <c r="G679" s="39"/>
      <c r="I679" s="39"/>
      <c r="K679" s="39"/>
    </row>
    <row r="680">
      <c r="G680" s="39"/>
      <c r="I680" s="39"/>
      <c r="K680" s="39"/>
    </row>
    <row r="681">
      <c r="G681" s="39"/>
      <c r="I681" s="39"/>
      <c r="K681" s="39"/>
    </row>
    <row r="682">
      <c r="G682" s="39"/>
      <c r="I682" s="39"/>
      <c r="K682" s="39"/>
    </row>
    <row r="683">
      <c r="G683" s="39"/>
      <c r="I683" s="39"/>
      <c r="K683" s="39"/>
    </row>
    <row r="684">
      <c r="G684" s="39"/>
      <c r="I684" s="39"/>
      <c r="K684" s="39"/>
    </row>
    <row r="685">
      <c r="G685" s="39"/>
      <c r="I685" s="39"/>
      <c r="K685" s="39"/>
    </row>
    <row r="686">
      <c r="G686" s="39"/>
      <c r="I686" s="39"/>
      <c r="K686" s="39"/>
    </row>
    <row r="687">
      <c r="G687" s="39"/>
      <c r="I687" s="39"/>
      <c r="K687" s="39"/>
    </row>
    <row r="688">
      <c r="G688" s="39"/>
      <c r="I688" s="39"/>
      <c r="K688" s="39"/>
    </row>
    <row r="689">
      <c r="G689" s="39"/>
      <c r="I689" s="39"/>
      <c r="K689" s="39"/>
    </row>
    <row r="690">
      <c r="G690" s="39"/>
      <c r="I690" s="39"/>
      <c r="K690" s="39"/>
    </row>
    <row r="691">
      <c r="G691" s="39"/>
      <c r="I691" s="39"/>
      <c r="K691" s="39"/>
    </row>
    <row r="692">
      <c r="G692" s="39"/>
      <c r="I692" s="39"/>
      <c r="K692" s="39"/>
    </row>
    <row r="693">
      <c r="G693" s="39"/>
      <c r="I693" s="39"/>
      <c r="K693" s="39"/>
    </row>
    <row r="694">
      <c r="G694" s="39"/>
      <c r="I694" s="39"/>
      <c r="K694" s="39"/>
    </row>
    <row r="695">
      <c r="G695" s="39"/>
      <c r="I695" s="39"/>
      <c r="K695" s="39"/>
    </row>
    <row r="696">
      <c r="G696" s="39"/>
      <c r="I696" s="39"/>
      <c r="K696" s="39"/>
    </row>
    <row r="697">
      <c r="G697" s="39"/>
      <c r="I697" s="39"/>
      <c r="K697" s="39"/>
    </row>
    <row r="698">
      <c r="G698" s="39"/>
      <c r="I698" s="39"/>
      <c r="K698" s="39"/>
    </row>
    <row r="699">
      <c r="G699" s="39"/>
      <c r="I699" s="39"/>
      <c r="K699" s="39"/>
    </row>
    <row r="700">
      <c r="G700" s="39"/>
      <c r="I700" s="39"/>
      <c r="K700" s="39"/>
    </row>
    <row r="701">
      <c r="G701" s="39"/>
      <c r="I701" s="39"/>
      <c r="K701" s="39"/>
    </row>
    <row r="702">
      <c r="G702" s="39"/>
      <c r="I702" s="39"/>
      <c r="K702" s="39"/>
    </row>
    <row r="703">
      <c r="G703" s="39"/>
      <c r="I703" s="39"/>
      <c r="K703" s="39"/>
    </row>
    <row r="704">
      <c r="G704" s="39"/>
      <c r="I704" s="39"/>
      <c r="K704" s="39"/>
    </row>
    <row r="705">
      <c r="G705" s="39"/>
      <c r="I705" s="39"/>
      <c r="K705" s="39"/>
    </row>
    <row r="706">
      <c r="G706" s="39"/>
      <c r="I706" s="39"/>
      <c r="K706" s="39"/>
    </row>
    <row r="707">
      <c r="G707" s="39"/>
      <c r="I707" s="39"/>
      <c r="K707" s="39"/>
    </row>
    <row r="708">
      <c r="G708" s="39"/>
      <c r="I708" s="39"/>
      <c r="K708" s="39"/>
    </row>
    <row r="709">
      <c r="G709" s="39"/>
      <c r="I709" s="39"/>
      <c r="K709" s="39"/>
    </row>
    <row r="710">
      <c r="G710" s="39"/>
      <c r="I710" s="39"/>
      <c r="K710" s="39"/>
    </row>
    <row r="711">
      <c r="G711" s="39"/>
      <c r="I711" s="39"/>
      <c r="K711" s="39"/>
    </row>
    <row r="712">
      <c r="G712" s="39"/>
      <c r="I712" s="39"/>
      <c r="K712" s="39"/>
    </row>
    <row r="713">
      <c r="G713" s="39"/>
      <c r="I713" s="39"/>
      <c r="K713" s="39"/>
    </row>
    <row r="714">
      <c r="G714" s="39"/>
      <c r="I714" s="39"/>
      <c r="K714" s="39"/>
    </row>
    <row r="715">
      <c r="G715" s="39"/>
      <c r="I715" s="39"/>
      <c r="K715" s="39"/>
    </row>
    <row r="716">
      <c r="G716" s="39"/>
      <c r="I716" s="39"/>
      <c r="K716" s="39"/>
    </row>
    <row r="717">
      <c r="G717" s="39"/>
      <c r="I717" s="39"/>
      <c r="K717" s="39"/>
    </row>
    <row r="718">
      <c r="G718" s="39"/>
      <c r="I718" s="39"/>
      <c r="K718" s="39"/>
    </row>
    <row r="719">
      <c r="G719" s="39"/>
      <c r="I719" s="39"/>
      <c r="K719" s="39"/>
    </row>
    <row r="720">
      <c r="G720" s="39"/>
      <c r="I720" s="39"/>
      <c r="K720" s="39"/>
    </row>
    <row r="721">
      <c r="G721" s="39"/>
      <c r="I721" s="39"/>
      <c r="K721" s="39"/>
    </row>
    <row r="722">
      <c r="G722" s="39"/>
      <c r="I722" s="39"/>
      <c r="K722" s="39"/>
    </row>
    <row r="723">
      <c r="G723" s="39"/>
      <c r="I723" s="39"/>
      <c r="K723" s="39"/>
    </row>
    <row r="724">
      <c r="G724" s="39"/>
      <c r="I724" s="39"/>
      <c r="K724" s="39"/>
    </row>
    <row r="725">
      <c r="G725" s="39"/>
      <c r="I725" s="39"/>
      <c r="K725" s="39"/>
    </row>
    <row r="726">
      <c r="G726" s="39"/>
      <c r="I726" s="39"/>
      <c r="K726" s="39"/>
    </row>
    <row r="727">
      <c r="G727" s="39"/>
      <c r="I727" s="39"/>
      <c r="K727" s="39"/>
    </row>
    <row r="728">
      <c r="G728" s="39"/>
      <c r="I728" s="39"/>
      <c r="K728" s="39"/>
    </row>
    <row r="729">
      <c r="G729" s="39"/>
      <c r="I729" s="39"/>
      <c r="K729" s="39"/>
    </row>
    <row r="730">
      <c r="G730" s="39"/>
      <c r="I730" s="39"/>
      <c r="K730" s="39"/>
    </row>
    <row r="731">
      <c r="G731" s="39"/>
      <c r="I731" s="39"/>
      <c r="K731" s="39"/>
    </row>
    <row r="732">
      <c r="G732" s="39"/>
      <c r="I732" s="39"/>
      <c r="K732" s="39"/>
    </row>
    <row r="733">
      <c r="G733" s="39"/>
      <c r="I733" s="39"/>
      <c r="K733" s="39"/>
    </row>
    <row r="734">
      <c r="G734" s="39"/>
      <c r="I734" s="39"/>
      <c r="K734" s="39"/>
    </row>
    <row r="735">
      <c r="G735" s="39"/>
      <c r="I735" s="39"/>
      <c r="K735" s="39"/>
    </row>
    <row r="736">
      <c r="G736" s="39"/>
      <c r="I736" s="39"/>
      <c r="K736" s="39"/>
    </row>
    <row r="737">
      <c r="G737" s="39"/>
      <c r="I737" s="39"/>
      <c r="K737" s="39"/>
    </row>
    <row r="738">
      <c r="G738" s="39"/>
      <c r="I738" s="39"/>
      <c r="K738" s="39"/>
    </row>
    <row r="739">
      <c r="G739" s="39"/>
      <c r="I739" s="39"/>
      <c r="K739" s="39"/>
    </row>
    <row r="740">
      <c r="G740" s="39"/>
      <c r="I740" s="39"/>
      <c r="K740" s="39"/>
    </row>
    <row r="741">
      <c r="G741" s="39"/>
      <c r="I741" s="39"/>
      <c r="K741" s="39"/>
    </row>
    <row r="742">
      <c r="G742" s="39"/>
      <c r="I742" s="39"/>
      <c r="K742" s="39"/>
    </row>
    <row r="743">
      <c r="G743" s="39"/>
      <c r="I743" s="39"/>
      <c r="K743" s="39"/>
    </row>
    <row r="744">
      <c r="G744" s="39"/>
      <c r="I744" s="39"/>
      <c r="K744" s="39"/>
    </row>
    <row r="745">
      <c r="G745" s="39"/>
      <c r="I745" s="39"/>
      <c r="K745" s="39"/>
    </row>
    <row r="746">
      <c r="G746" s="39"/>
      <c r="I746" s="39"/>
      <c r="K746" s="39"/>
    </row>
    <row r="747">
      <c r="G747" s="39"/>
      <c r="I747" s="39"/>
      <c r="K747" s="39"/>
    </row>
    <row r="748">
      <c r="G748" s="39"/>
      <c r="I748" s="39"/>
      <c r="K748" s="39"/>
    </row>
    <row r="749">
      <c r="G749" s="39"/>
      <c r="I749" s="39"/>
      <c r="K749" s="39"/>
    </row>
    <row r="750">
      <c r="G750" s="39"/>
      <c r="I750" s="39"/>
      <c r="K750" s="39"/>
    </row>
    <row r="751">
      <c r="G751" s="39"/>
      <c r="I751" s="39"/>
      <c r="K751" s="39"/>
    </row>
    <row r="752">
      <c r="G752" s="39"/>
      <c r="I752" s="39"/>
      <c r="K752" s="39"/>
    </row>
    <row r="753">
      <c r="G753" s="39"/>
      <c r="I753" s="39"/>
      <c r="K753" s="39"/>
    </row>
    <row r="754">
      <c r="G754" s="39"/>
      <c r="I754" s="39"/>
      <c r="K754" s="39"/>
    </row>
    <row r="755">
      <c r="G755" s="39"/>
      <c r="I755" s="39"/>
      <c r="K755" s="39"/>
    </row>
    <row r="756">
      <c r="G756" s="39"/>
      <c r="I756" s="39"/>
      <c r="K756" s="39"/>
    </row>
    <row r="757">
      <c r="G757" s="39"/>
      <c r="I757" s="39"/>
      <c r="K757" s="39"/>
    </row>
    <row r="758">
      <c r="G758" s="39"/>
      <c r="I758" s="39"/>
      <c r="K758" s="39"/>
    </row>
    <row r="759">
      <c r="G759" s="39"/>
      <c r="I759" s="39"/>
      <c r="K759" s="39"/>
    </row>
    <row r="760">
      <c r="G760" s="39"/>
      <c r="I760" s="39"/>
      <c r="K760" s="39"/>
    </row>
    <row r="761">
      <c r="G761" s="39"/>
      <c r="I761" s="39"/>
      <c r="K761" s="39"/>
    </row>
    <row r="762">
      <c r="G762" s="39"/>
      <c r="I762" s="39"/>
      <c r="K762" s="39"/>
    </row>
    <row r="763">
      <c r="G763" s="39"/>
      <c r="I763" s="39"/>
      <c r="K763" s="39"/>
    </row>
    <row r="764">
      <c r="G764" s="39"/>
      <c r="I764" s="39"/>
      <c r="K764" s="39"/>
    </row>
    <row r="765">
      <c r="G765" s="39"/>
      <c r="I765" s="39"/>
      <c r="K765" s="39"/>
    </row>
    <row r="766">
      <c r="G766" s="39"/>
      <c r="I766" s="39"/>
      <c r="K766" s="39"/>
    </row>
    <row r="767">
      <c r="G767" s="39"/>
      <c r="I767" s="39"/>
      <c r="K767" s="39"/>
    </row>
    <row r="768">
      <c r="G768" s="39"/>
      <c r="I768" s="39"/>
      <c r="K768" s="39"/>
    </row>
    <row r="769">
      <c r="G769" s="39"/>
      <c r="I769" s="39"/>
      <c r="K769" s="39"/>
    </row>
    <row r="770">
      <c r="G770" s="39"/>
      <c r="I770" s="39"/>
      <c r="K770" s="39"/>
    </row>
    <row r="771">
      <c r="G771" s="39"/>
      <c r="I771" s="39"/>
      <c r="K771" s="39"/>
    </row>
    <row r="772">
      <c r="G772" s="39"/>
      <c r="I772" s="39"/>
      <c r="K772" s="39"/>
    </row>
    <row r="773">
      <c r="G773" s="39"/>
      <c r="I773" s="39"/>
      <c r="K773" s="39"/>
    </row>
    <row r="774">
      <c r="G774" s="39"/>
      <c r="I774" s="39"/>
      <c r="K774" s="39"/>
    </row>
    <row r="775">
      <c r="G775" s="39"/>
      <c r="I775" s="39"/>
      <c r="K775" s="39"/>
    </row>
    <row r="776">
      <c r="G776" s="39"/>
      <c r="I776" s="39"/>
      <c r="K776" s="39"/>
    </row>
    <row r="777">
      <c r="G777" s="39"/>
      <c r="I777" s="39"/>
      <c r="K777" s="39"/>
    </row>
    <row r="778">
      <c r="G778" s="39"/>
      <c r="I778" s="39"/>
      <c r="K778" s="39"/>
    </row>
    <row r="779">
      <c r="G779" s="39"/>
      <c r="I779" s="39"/>
      <c r="K779" s="39"/>
    </row>
    <row r="780">
      <c r="G780" s="39"/>
      <c r="I780" s="39"/>
      <c r="K780" s="39"/>
    </row>
    <row r="781">
      <c r="G781" s="39"/>
      <c r="I781" s="39"/>
      <c r="K781" s="39"/>
    </row>
    <row r="782">
      <c r="G782" s="39"/>
      <c r="I782" s="39"/>
      <c r="K782" s="39"/>
    </row>
    <row r="783">
      <c r="G783" s="39"/>
      <c r="I783" s="39"/>
      <c r="K783" s="39"/>
    </row>
    <row r="784">
      <c r="G784" s="39"/>
      <c r="I784" s="39"/>
      <c r="K784" s="39"/>
    </row>
    <row r="785">
      <c r="G785" s="39"/>
      <c r="I785" s="39"/>
      <c r="K785" s="39"/>
    </row>
    <row r="786">
      <c r="G786" s="39"/>
      <c r="I786" s="39"/>
      <c r="K786" s="39"/>
    </row>
    <row r="787">
      <c r="G787" s="39"/>
      <c r="I787" s="39"/>
      <c r="K787" s="39"/>
    </row>
    <row r="788">
      <c r="G788" s="39"/>
      <c r="I788" s="39"/>
      <c r="K788" s="39"/>
    </row>
    <row r="789">
      <c r="G789" s="39"/>
      <c r="I789" s="39"/>
      <c r="K789" s="39"/>
    </row>
    <row r="790">
      <c r="G790" s="39"/>
      <c r="I790" s="39"/>
      <c r="K790" s="39"/>
    </row>
    <row r="791">
      <c r="G791" s="39"/>
      <c r="I791" s="39"/>
      <c r="K791" s="39"/>
    </row>
    <row r="792">
      <c r="G792" s="39"/>
      <c r="I792" s="39"/>
      <c r="K792" s="39"/>
    </row>
    <row r="793">
      <c r="G793" s="39"/>
      <c r="I793" s="39"/>
      <c r="K793" s="39"/>
    </row>
    <row r="794">
      <c r="G794" s="39"/>
      <c r="I794" s="39"/>
      <c r="K794" s="39"/>
    </row>
    <row r="795">
      <c r="G795" s="39"/>
      <c r="I795" s="39"/>
      <c r="K795" s="39"/>
    </row>
    <row r="796">
      <c r="G796" s="39"/>
      <c r="I796" s="39"/>
      <c r="K796" s="39"/>
    </row>
    <row r="797">
      <c r="G797" s="39"/>
      <c r="I797" s="39"/>
      <c r="K797" s="39"/>
    </row>
    <row r="798">
      <c r="G798" s="39"/>
      <c r="I798" s="39"/>
      <c r="K798" s="39"/>
    </row>
    <row r="799">
      <c r="G799" s="39"/>
      <c r="I799" s="39"/>
      <c r="K799" s="39"/>
    </row>
    <row r="800">
      <c r="G800" s="39"/>
      <c r="I800" s="39"/>
      <c r="K800" s="39"/>
    </row>
    <row r="801">
      <c r="G801" s="39"/>
      <c r="I801" s="39"/>
      <c r="K801" s="39"/>
    </row>
    <row r="802">
      <c r="G802" s="39"/>
      <c r="I802" s="39"/>
      <c r="K802" s="39"/>
    </row>
    <row r="803">
      <c r="G803" s="39"/>
      <c r="I803" s="39"/>
      <c r="K803" s="39"/>
    </row>
    <row r="804">
      <c r="G804" s="39"/>
      <c r="I804" s="39"/>
      <c r="K804" s="39"/>
    </row>
    <row r="805">
      <c r="G805" s="39"/>
      <c r="I805" s="39"/>
      <c r="K805" s="39"/>
    </row>
    <row r="806">
      <c r="G806" s="39"/>
      <c r="I806" s="39"/>
      <c r="K806" s="39"/>
    </row>
    <row r="807">
      <c r="G807" s="39"/>
      <c r="I807" s="39"/>
      <c r="K807" s="39"/>
    </row>
    <row r="808">
      <c r="G808" s="39"/>
      <c r="I808" s="39"/>
      <c r="K808" s="39"/>
    </row>
    <row r="809">
      <c r="G809" s="39"/>
      <c r="I809" s="39"/>
      <c r="K809" s="39"/>
    </row>
    <row r="810">
      <c r="G810" s="39"/>
      <c r="I810" s="39"/>
      <c r="K810" s="39"/>
    </row>
    <row r="811">
      <c r="G811" s="39"/>
      <c r="I811" s="39"/>
      <c r="K811" s="39"/>
    </row>
    <row r="812">
      <c r="G812" s="39"/>
      <c r="I812" s="39"/>
      <c r="K812" s="39"/>
    </row>
    <row r="813">
      <c r="G813" s="39"/>
      <c r="I813" s="39"/>
      <c r="K813" s="39"/>
    </row>
    <row r="814">
      <c r="G814" s="39"/>
      <c r="I814" s="39"/>
      <c r="K814" s="39"/>
    </row>
    <row r="815">
      <c r="G815" s="39"/>
      <c r="I815" s="39"/>
      <c r="K815" s="39"/>
    </row>
    <row r="816">
      <c r="G816" s="39"/>
      <c r="I816" s="39"/>
      <c r="K816" s="39"/>
    </row>
    <row r="817">
      <c r="G817" s="39"/>
      <c r="I817" s="39"/>
      <c r="K817" s="39"/>
    </row>
    <row r="818">
      <c r="G818" s="39"/>
      <c r="I818" s="39"/>
      <c r="K818" s="39"/>
    </row>
    <row r="819">
      <c r="G819" s="39"/>
      <c r="I819" s="39"/>
      <c r="K819" s="39"/>
    </row>
    <row r="820">
      <c r="G820" s="39"/>
      <c r="I820" s="39"/>
      <c r="K820" s="39"/>
    </row>
    <row r="821">
      <c r="G821" s="39"/>
      <c r="I821" s="39"/>
      <c r="K821" s="39"/>
    </row>
    <row r="822">
      <c r="G822" s="39"/>
      <c r="I822" s="39"/>
      <c r="K822" s="39"/>
    </row>
    <row r="823">
      <c r="G823" s="39"/>
      <c r="I823" s="39"/>
      <c r="K823" s="39"/>
    </row>
    <row r="824">
      <c r="G824" s="39"/>
      <c r="I824" s="39"/>
      <c r="K824" s="39"/>
    </row>
    <row r="825">
      <c r="G825" s="39"/>
      <c r="I825" s="39"/>
      <c r="K825" s="39"/>
    </row>
    <row r="826">
      <c r="G826" s="39"/>
      <c r="I826" s="39"/>
      <c r="K826" s="39"/>
    </row>
    <row r="827">
      <c r="G827" s="39"/>
      <c r="I827" s="39"/>
      <c r="K827" s="39"/>
    </row>
    <row r="828">
      <c r="G828" s="39"/>
      <c r="I828" s="39"/>
      <c r="K828" s="39"/>
    </row>
    <row r="829">
      <c r="G829" s="39"/>
      <c r="I829" s="39"/>
      <c r="K829" s="39"/>
    </row>
    <row r="830">
      <c r="G830" s="39"/>
      <c r="I830" s="39"/>
      <c r="K830" s="39"/>
    </row>
    <row r="831">
      <c r="G831" s="39"/>
      <c r="I831" s="39"/>
      <c r="K831" s="39"/>
    </row>
    <row r="832">
      <c r="G832" s="39"/>
      <c r="I832" s="39"/>
      <c r="K832" s="39"/>
    </row>
    <row r="833">
      <c r="G833" s="39"/>
      <c r="I833" s="39"/>
      <c r="K833" s="39"/>
    </row>
    <row r="834">
      <c r="G834" s="39"/>
      <c r="I834" s="39"/>
      <c r="K834" s="39"/>
    </row>
    <row r="835">
      <c r="G835" s="39"/>
      <c r="I835" s="39"/>
      <c r="K835" s="39"/>
    </row>
    <row r="836">
      <c r="G836" s="39"/>
      <c r="I836" s="39"/>
      <c r="K836" s="39"/>
    </row>
    <row r="837">
      <c r="G837" s="39"/>
      <c r="I837" s="39"/>
      <c r="K837" s="39"/>
    </row>
    <row r="838">
      <c r="G838" s="39"/>
      <c r="I838" s="39"/>
      <c r="K838" s="39"/>
    </row>
    <row r="839">
      <c r="G839" s="39"/>
      <c r="I839" s="39"/>
      <c r="K839" s="39"/>
    </row>
    <row r="840">
      <c r="G840" s="39"/>
      <c r="I840" s="39"/>
      <c r="K840" s="39"/>
    </row>
    <row r="841">
      <c r="G841" s="39"/>
      <c r="I841" s="39"/>
      <c r="K841" s="39"/>
    </row>
    <row r="842">
      <c r="G842" s="39"/>
      <c r="I842" s="39"/>
      <c r="K842" s="39"/>
    </row>
    <row r="843">
      <c r="G843" s="39"/>
      <c r="I843" s="39"/>
      <c r="K843" s="39"/>
    </row>
    <row r="844">
      <c r="G844" s="39"/>
      <c r="I844" s="39"/>
      <c r="K844" s="39"/>
    </row>
    <row r="845">
      <c r="G845" s="39"/>
      <c r="I845" s="39"/>
      <c r="K845" s="39"/>
    </row>
    <row r="846">
      <c r="G846" s="39"/>
      <c r="I846" s="39"/>
      <c r="K846" s="39"/>
    </row>
    <row r="847">
      <c r="G847" s="39"/>
      <c r="I847" s="39"/>
      <c r="K847" s="39"/>
    </row>
    <row r="848">
      <c r="G848" s="39"/>
      <c r="I848" s="39"/>
      <c r="K848" s="39"/>
    </row>
    <row r="849">
      <c r="G849" s="39"/>
      <c r="I849" s="39"/>
      <c r="K849" s="39"/>
    </row>
    <row r="850">
      <c r="G850" s="39"/>
      <c r="I850" s="39"/>
      <c r="K850" s="39"/>
    </row>
    <row r="851">
      <c r="G851" s="39"/>
      <c r="I851" s="39"/>
      <c r="K851" s="39"/>
    </row>
    <row r="852">
      <c r="G852" s="39"/>
      <c r="I852" s="39"/>
      <c r="K852" s="39"/>
    </row>
    <row r="853">
      <c r="G853" s="39"/>
      <c r="I853" s="39"/>
      <c r="K853" s="39"/>
    </row>
    <row r="854">
      <c r="G854" s="39"/>
      <c r="I854" s="39"/>
      <c r="K854" s="39"/>
    </row>
    <row r="855">
      <c r="G855" s="39"/>
      <c r="I855" s="39"/>
      <c r="K855" s="39"/>
    </row>
    <row r="856">
      <c r="G856" s="39"/>
      <c r="I856" s="39"/>
      <c r="K856" s="39"/>
    </row>
    <row r="857">
      <c r="G857" s="39"/>
      <c r="I857" s="39"/>
      <c r="K857" s="39"/>
    </row>
    <row r="858">
      <c r="G858" s="39"/>
      <c r="I858" s="39"/>
      <c r="K858" s="39"/>
    </row>
    <row r="859">
      <c r="G859" s="39"/>
      <c r="I859" s="39"/>
      <c r="K859" s="39"/>
    </row>
    <row r="860">
      <c r="G860" s="39"/>
      <c r="I860" s="39"/>
      <c r="K860" s="39"/>
    </row>
    <row r="861">
      <c r="G861" s="39"/>
      <c r="I861" s="39"/>
      <c r="K861" s="39"/>
    </row>
    <row r="862">
      <c r="G862" s="39"/>
      <c r="I862" s="39"/>
      <c r="K862" s="39"/>
    </row>
    <row r="863">
      <c r="G863" s="39"/>
      <c r="I863" s="39"/>
      <c r="K863" s="39"/>
    </row>
    <row r="864">
      <c r="G864" s="39"/>
      <c r="I864" s="39"/>
      <c r="K864" s="39"/>
    </row>
    <row r="865">
      <c r="G865" s="39"/>
      <c r="I865" s="39"/>
      <c r="K865" s="39"/>
    </row>
    <row r="866">
      <c r="G866" s="39"/>
      <c r="I866" s="39"/>
      <c r="K866" s="39"/>
    </row>
    <row r="867">
      <c r="G867" s="39"/>
      <c r="I867" s="39"/>
      <c r="K867" s="39"/>
    </row>
    <row r="868">
      <c r="G868" s="39"/>
      <c r="I868" s="39"/>
      <c r="K868" s="39"/>
    </row>
    <row r="869">
      <c r="G869" s="39"/>
      <c r="I869" s="39"/>
      <c r="K869" s="39"/>
    </row>
    <row r="870">
      <c r="G870" s="39"/>
      <c r="I870" s="39"/>
      <c r="K870" s="39"/>
    </row>
    <row r="871">
      <c r="G871" s="39"/>
      <c r="I871" s="39"/>
      <c r="K871" s="39"/>
    </row>
    <row r="872">
      <c r="G872" s="39"/>
      <c r="I872" s="39"/>
      <c r="K872" s="39"/>
    </row>
    <row r="873">
      <c r="G873" s="39"/>
      <c r="I873" s="39"/>
      <c r="K873" s="39"/>
    </row>
    <row r="874">
      <c r="G874" s="39"/>
      <c r="I874" s="39"/>
      <c r="K874" s="39"/>
    </row>
    <row r="875">
      <c r="G875" s="39"/>
      <c r="I875" s="39"/>
      <c r="K875" s="39"/>
    </row>
    <row r="876">
      <c r="G876" s="39"/>
      <c r="I876" s="39"/>
      <c r="K876" s="39"/>
    </row>
    <row r="877">
      <c r="G877" s="39"/>
      <c r="I877" s="39"/>
      <c r="K877" s="39"/>
    </row>
    <row r="878">
      <c r="G878" s="39"/>
      <c r="I878" s="39"/>
      <c r="K878" s="39"/>
    </row>
    <row r="879">
      <c r="G879" s="39"/>
      <c r="I879" s="39"/>
      <c r="K879" s="39"/>
    </row>
    <row r="880">
      <c r="G880" s="39"/>
      <c r="I880" s="39"/>
      <c r="K880" s="39"/>
    </row>
    <row r="881">
      <c r="G881" s="39"/>
      <c r="I881" s="39"/>
      <c r="K881" s="39"/>
    </row>
    <row r="882">
      <c r="G882" s="39"/>
      <c r="I882" s="39"/>
      <c r="K882" s="39"/>
    </row>
    <row r="883">
      <c r="G883" s="39"/>
      <c r="I883" s="39"/>
      <c r="K883" s="39"/>
    </row>
    <row r="884">
      <c r="G884" s="39"/>
      <c r="I884" s="39"/>
      <c r="K884" s="39"/>
    </row>
    <row r="885">
      <c r="G885" s="39"/>
      <c r="I885" s="39"/>
      <c r="K885" s="39"/>
    </row>
    <row r="886">
      <c r="G886" s="39"/>
      <c r="I886" s="39"/>
      <c r="K886" s="39"/>
    </row>
    <row r="887">
      <c r="G887" s="39"/>
      <c r="I887" s="39"/>
      <c r="K887" s="39"/>
    </row>
    <row r="888">
      <c r="G888" s="39"/>
      <c r="I888" s="39"/>
      <c r="K888" s="39"/>
    </row>
    <row r="889">
      <c r="G889" s="39"/>
      <c r="I889" s="39"/>
      <c r="K889" s="39"/>
    </row>
    <row r="890">
      <c r="G890" s="39"/>
      <c r="I890" s="39"/>
      <c r="K890" s="39"/>
    </row>
    <row r="891">
      <c r="G891" s="39"/>
      <c r="I891" s="39"/>
      <c r="K891" s="39"/>
    </row>
    <row r="892">
      <c r="G892" s="39"/>
      <c r="I892" s="39"/>
      <c r="K892" s="39"/>
    </row>
    <row r="893">
      <c r="G893" s="39"/>
      <c r="I893" s="39"/>
      <c r="K893" s="39"/>
    </row>
    <row r="894">
      <c r="G894" s="39"/>
      <c r="I894" s="39"/>
      <c r="K894" s="39"/>
    </row>
    <row r="895">
      <c r="G895" s="39"/>
      <c r="I895" s="39"/>
      <c r="K895" s="39"/>
    </row>
    <row r="896">
      <c r="G896" s="39"/>
      <c r="I896" s="39"/>
      <c r="K896" s="39"/>
    </row>
    <row r="897">
      <c r="G897" s="39"/>
      <c r="I897" s="39"/>
      <c r="K897" s="39"/>
    </row>
    <row r="898">
      <c r="G898" s="39"/>
      <c r="I898" s="39"/>
      <c r="K898" s="39"/>
    </row>
    <row r="899">
      <c r="G899" s="39"/>
      <c r="I899" s="39"/>
      <c r="K899" s="39"/>
    </row>
    <row r="900">
      <c r="G900" s="39"/>
      <c r="I900" s="39"/>
      <c r="K900" s="39"/>
    </row>
    <row r="901">
      <c r="G901" s="39"/>
      <c r="I901" s="39"/>
      <c r="K901" s="39"/>
    </row>
    <row r="902">
      <c r="G902" s="39"/>
      <c r="I902" s="39"/>
      <c r="K902" s="39"/>
    </row>
    <row r="903">
      <c r="G903" s="39"/>
      <c r="I903" s="39"/>
      <c r="K903" s="39"/>
    </row>
    <row r="904">
      <c r="G904" s="39"/>
      <c r="I904" s="39"/>
      <c r="K904" s="39"/>
    </row>
    <row r="905">
      <c r="G905" s="39"/>
      <c r="I905" s="39"/>
      <c r="K905" s="39"/>
    </row>
    <row r="906">
      <c r="G906" s="39"/>
      <c r="I906" s="39"/>
      <c r="K906" s="39"/>
    </row>
    <row r="907">
      <c r="G907" s="39"/>
      <c r="I907" s="39"/>
      <c r="K907" s="39"/>
    </row>
    <row r="908">
      <c r="G908" s="39"/>
      <c r="I908" s="39"/>
      <c r="K908" s="39"/>
    </row>
    <row r="909">
      <c r="G909" s="39"/>
      <c r="I909" s="39"/>
      <c r="K909" s="39"/>
    </row>
    <row r="910">
      <c r="G910" s="39"/>
      <c r="I910" s="39"/>
      <c r="K910" s="39"/>
    </row>
    <row r="911">
      <c r="G911" s="39"/>
      <c r="I911" s="39"/>
      <c r="K911" s="39"/>
    </row>
    <row r="912">
      <c r="G912" s="39"/>
      <c r="I912" s="39"/>
      <c r="K912" s="39"/>
    </row>
    <row r="913">
      <c r="G913" s="39"/>
      <c r="I913" s="39"/>
      <c r="K913" s="39"/>
    </row>
    <row r="914">
      <c r="G914" s="39"/>
      <c r="I914" s="39"/>
      <c r="K914" s="39"/>
    </row>
    <row r="915">
      <c r="G915" s="39"/>
      <c r="I915" s="39"/>
      <c r="K915" s="39"/>
    </row>
    <row r="916">
      <c r="G916" s="39"/>
      <c r="I916" s="39"/>
      <c r="K916" s="39"/>
    </row>
    <row r="917">
      <c r="G917" s="39"/>
      <c r="I917" s="39"/>
      <c r="K917" s="39"/>
    </row>
    <row r="918">
      <c r="G918" s="39"/>
      <c r="I918" s="39"/>
      <c r="K918" s="39"/>
    </row>
    <row r="919">
      <c r="G919" s="39"/>
      <c r="I919" s="39"/>
      <c r="K919" s="39"/>
    </row>
    <row r="920">
      <c r="G920" s="39"/>
      <c r="I920" s="39"/>
      <c r="K920" s="39"/>
    </row>
    <row r="921">
      <c r="G921" s="39"/>
      <c r="I921" s="39"/>
      <c r="K921" s="39"/>
    </row>
    <row r="922">
      <c r="G922" s="39"/>
      <c r="I922" s="39"/>
      <c r="K922" s="39"/>
    </row>
    <row r="923">
      <c r="G923" s="39"/>
      <c r="I923" s="39"/>
      <c r="K923" s="39"/>
    </row>
    <row r="924">
      <c r="G924" s="39"/>
      <c r="I924" s="39"/>
      <c r="K924" s="39"/>
    </row>
    <row r="925">
      <c r="G925" s="39"/>
      <c r="I925" s="39"/>
      <c r="K925" s="39"/>
    </row>
    <row r="926">
      <c r="G926" s="39"/>
      <c r="I926" s="39"/>
      <c r="K926" s="39"/>
    </row>
    <row r="927">
      <c r="G927" s="39"/>
      <c r="I927" s="39"/>
      <c r="K927" s="39"/>
    </row>
    <row r="928">
      <c r="G928" s="39"/>
      <c r="I928" s="39"/>
      <c r="K928" s="39"/>
    </row>
    <row r="929">
      <c r="G929" s="39"/>
      <c r="I929" s="39"/>
      <c r="K929" s="39"/>
    </row>
    <row r="930">
      <c r="G930" s="39"/>
      <c r="I930" s="39"/>
      <c r="K930" s="39"/>
    </row>
    <row r="931">
      <c r="G931" s="39"/>
      <c r="I931" s="39"/>
      <c r="K931" s="39"/>
    </row>
    <row r="932">
      <c r="G932" s="39"/>
      <c r="I932" s="39"/>
      <c r="K932" s="39"/>
    </row>
    <row r="933">
      <c r="G933" s="39"/>
      <c r="I933" s="39"/>
      <c r="K933" s="39"/>
    </row>
    <row r="934">
      <c r="G934" s="39"/>
      <c r="I934" s="39"/>
      <c r="K934" s="39"/>
    </row>
    <row r="935">
      <c r="G935" s="39"/>
      <c r="I935" s="39"/>
      <c r="K935" s="39"/>
    </row>
    <row r="936">
      <c r="G936" s="39"/>
      <c r="I936" s="39"/>
      <c r="K936" s="39"/>
    </row>
    <row r="937">
      <c r="G937" s="39"/>
      <c r="I937" s="39"/>
      <c r="K937" s="39"/>
    </row>
    <row r="938">
      <c r="G938" s="39"/>
      <c r="I938" s="39"/>
      <c r="K938" s="39"/>
    </row>
    <row r="939">
      <c r="G939" s="39"/>
      <c r="I939" s="39"/>
      <c r="K939" s="39"/>
    </row>
    <row r="940">
      <c r="G940" s="39"/>
      <c r="I940" s="39"/>
      <c r="K940" s="39"/>
    </row>
    <row r="941">
      <c r="G941" s="39"/>
      <c r="I941" s="39"/>
      <c r="K941" s="39"/>
    </row>
    <row r="942">
      <c r="G942" s="39"/>
      <c r="I942" s="39"/>
      <c r="K942" s="39"/>
    </row>
    <row r="943">
      <c r="G943" s="39"/>
      <c r="I943" s="39"/>
      <c r="K943" s="39"/>
    </row>
    <row r="944">
      <c r="G944" s="39"/>
      <c r="I944" s="39"/>
      <c r="K944" s="39"/>
    </row>
    <row r="945">
      <c r="G945" s="39"/>
      <c r="I945" s="39"/>
      <c r="K945" s="39"/>
    </row>
    <row r="946">
      <c r="G946" s="39"/>
      <c r="I946" s="39"/>
      <c r="K946" s="39"/>
    </row>
    <row r="947">
      <c r="G947" s="39"/>
      <c r="I947" s="39"/>
      <c r="K947" s="39"/>
    </row>
    <row r="948">
      <c r="G948" s="39"/>
      <c r="I948" s="39"/>
      <c r="K948" s="39"/>
    </row>
    <row r="949">
      <c r="G949" s="39"/>
      <c r="I949" s="39"/>
      <c r="K949" s="39"/>
    </row>
    <row r="950">
      <c r="G950" s="39"/>
      <c r="I950" s="39"/>
      <c r="K950" s="39"/>
    </row>
    <row r="951">
      <c r="G951" s="39"/>
      <c r="I951" s="39"/>
      <c r="K951" s="39"/>
    </row>
    <row r="952">
      <c r="G952" s="39"/>
      <c r="I952" s="39"/>
      <c r="K952" s="39"/>
    </row>
    <row r="953">
      <c r="G953" s="39"/>
      <c r="I953" s="39"/>
      <c r="K953" s="39"/>
    </row>
    <row r="954">
      <c r="G954" s="39"/>
      <c r="I954" s="39"/>
      <c r="K954" s="39"/>
    </row>
    <row r="955">
      <c r="G955" s="39"/>
      <c r="I955" s="39"/>
      <c r="K955" s="39"/>
    </row>
    <row r="956">
      <c r="G956" s="39"/>
      <c r="I956" s="39"/>
      <c r="K956" s="39"/>
    </row>
    <row r="957">
      <c r="G957" s="39"/>
      <c r="I957" s="39"/>
      <c r="K957" s="39"/>
    </row>
    <row r="958">
      <c r="G958" s="39"/>
      <c r="I958" s="39"/>
      <c r="K958" s="39"/>
    </row>
    <row r="959">
      <c r="G959" s="39"/>
      <c r="I959" s="39"/>
      <c r="K959" s="39"/>
    </row>
    <row r="960">
      <c r="G960" s="39"/>
      <c r="I960" s="39"/>
      <c r="K960" s="39"/>
    </row>
    <row r="961">
      <c r="G961" s="39"/>
      <c r="I961" s="39"/>
      <c r="K961" s="39"/>
    </row>
    <row r="962">
      <c r="G962" s="39"/>
      <c r="I962" s="39"/>
      <c r="K962" s="39"/>
    </row>
    <row r="963">
      <c r="G963" s="39"/>
      <c r="I963" s="39"/>
      <c r="K963" s="39"/>
    </row>
    <row r="964">
      <c r="G964" s="39"/>
      <c r="I964" s="39"/>
      <c r="K964" s="39"/>
    </row>
    <row r="965">
      <c r="G965" s="39"/>
      <c r="I965" s="39"/>
      <c r="K965" s="39"/>
    </row>
    <row r="966">
      <c r="G966" s="39"/>
      <c r="I966" s="39"/>
      <c r="K966" s="39"/>
    </row>
    <row r="967">
      <c r="G967" s="39"/>
      <c r="I967" s="39"/>
      <c r="K967" s="39"/>
    </row>
    <row r="968">
      <c r="G968" s="39"/>
      <c r="I968" s="39"/>
      <c r="K968" s="39"/>
    </row>
    <row r="969">
      <c r="G969" s="39"/>
      <c r="I969" s="39"/>
      <c r="K969" s="39"/>
    </row>
    <row r="970">
      <c r="G970" s="39"/>
      <c r="I970" s="39"/>
      <c r="K970" s="39"/>
    </row>
    <row r="971">
      <c r="G971" s="39"/>
      <c r="I971" s="39"/>
      <c r="K971" s="39"/>
    </row>
    <row r="972">
      <c r="G972" s="39"/>
      <c r="I972" s="39"/>
      <c r="K972" s="39"/>
    </row>
    <row r="973">
      <c r="G973" s="39"/>
      <c r="I973" s="39"/>
      <c r="K973" s="39"/>
    </row>
    <row r="974">
      <c r="G974" s="39"/>
      <c r="I974" s="39"/>
      <c r="K974" s="39"/>
    </row>
    <row r="975">
      <c r="G975" s="39"/>
      <c r="I975" s="39"/>
      <c r="K975" s="39"/>
    </row>
    <row r="976">
      <c r="G976" s="39"/>
      <c r="I976" s="39"/>
      <c r="K976" s="39"/>
    </row>
    <row r="977">
      <c r="G977" s="39"/>
      <c r="I977" s="39"/>
      <c r="K977" s="39"/>
    </row>
    <row r="978">
      <c r="G978" s="39"/>
      <c r="I978" s="39"/>
      <c r="K978" s="39"/>
    </row>
    <row r="979">
      <c r="G979" s="39"/>
      <c r="I979" s="39"/>
      <c r="K979" s="39"/>
    </row>
    <row r="980">
      <c r="G980" s="39"/>
      <c r="I980" s="39"/>
      <c r="K980" s="39"/>
    </row>
    <row r="981">
      <c r="G981" s="39"/>
      <c r="I981" s="39"/>
      <c r="K981" s="39"/>
    </row>
    <row r="982">
      <c r="G982" s="39"/>
      <c r="I982" s="39"/>
      <c r="K982" s="39"/>
    </row>
    <row r="983">
      <c r="G983" s="39"/>
      <c r="I983" s="39"/>
      <c r="K983" s="39"/>
    </row>
    <row r="984">
      <c r="G984" s="39"/>
      <c r="I984" s="39"/>
      <c r="K984" s="39"/>
    </row>
    <row r="985">
      <c r="G985" s="39"/>
      <c r="I985" s="39"/>
      <c r="K985" s="39"/>
    </row>
    <row r="986">
      <c r="G986" s="39"/>
      <c r="I986" s="39"/>
      <c r="K986" s="39"/>
    </row>
    <row r="987">
      <c r="G987" s="39"/>
      <c r="I987" s="39"/>
      <c r="K987" s="39"/>
    </row>
    <row r="988">
      <c r="G988" s="39"/>
      <c r="I988" s="39"/>
      <c r="K988" s="39"/>
    </row>
    <row r="989">
      <c r="G989" s="39"/>
      <c r="I989" s="39"/>
      <c r="K989" s="39"/>
    </row>
    <row r="990">
      <c r="G990" s="39"/>
      <c r="I990" s="39"/>
      <c r="K990" s="39"/>
    </row>
    <row r="991">
      <c r="G991" s="39"/>
      <c r="I991" s="39"/>
      <c r="K991" s="39"/>
    </row>
    <row r="992">
      <c r="G992" s="39"/>
      <c r="I992" s="39"/>
      <c r="K992" s="39"/>
    </row>
    <row r="993">
      <c r="G993" s="39"/>
      <c r="I993" s="39"/>
      <c r="K993" s="39"/>
    </row>
    <row r="994">
      <c r="G994" s="39"/>
      <c r="I994" s="39"/>
      <c r="K994" s="39"/>
    </row>
    <row r="995">
      <c r="G995" s="39"/>
      <c r="I995" s="39"/>
      <c r="K995" s="39"/>
    </row>
    <row r="996">
      <c r="G996" s="39"/>
      <c r="I996" s="39"/>
      <c r="K996" s="39"/>
    </row>
    <row r="997">
      <c r="G997" s="39"/>
      <c r="I997" s="39"/>
      <c r="K997" s="39"/>
    </row>
    <row r="998">
      <c r="G998" s="39"/>
      <c r="I998" s="39"/>
      <c r="K998" s="39"/>
    </row>
    <row r="999">
      <c r="G999" s="39"/>
      <c r="I999" s="39"/>
      <c r="K999" s="39"/>
    </row>
    <row r="1000">
      <c r="G1000" s="39"/>
      <c r="I1000" s="39"/>
      <c r="K1000" s="39"/>
    </row>
    <row r="1001">
      <c r="G1001" s="39"/>
      <c r="I1001" s="39"/>
      <c r="K1001" s="39"/>
    </row>
    <row r="1002">
      <c r="G1002" s="39"/>
      <c r="I1002" s="39"/>
      <c r="K1002" s="39"/>
    </row>
    <row r="1003">
      <c r="G1003" s="39"/>
      <c r="I1003" s="39"/>
      <c r="K1003" s="39"/>
    </row>
    <row r="1004">
      <c r="G1004" s="39"/>
      <c r="I1004" s="39"/>
      <c r="K1004" s="39"/>
    </row>
    <row r="1005">
      <c r="G1005" s="39"/>
      <c r="I1005" s="39"/>
      <c r="K1005" s="39"/>
    </row>
    <row r="1006">
      <c r="G1006" s="39"/>
      <c r="I1006" s="39"/>
      <c r="K1006" s="39"/>
    </row>
    <row r="1007">
      <c r="G1007" s="39"/>
      <c r="I1007" s="39"/>
      <c r="K1007" s="39"/>
    </row>
    <row r="1008">
      <c r="G1008" s="39"/>
      <c r="I1008" s="39"/>
      <c r="K1008" s="39"/>
    </row>
    <row r="1009">
      <c r="G1009" s="39"/>
      <c r="I1009" s="39"/>
      <c r="K1009" s="39"/>
    </row>
  </sheetData>
  <dataValidations>
    <dataValidation type="list" allowBlank="1" showErrorMessage="1" sqref="A2:A27">
      <formula1>Arenas!$A$2:$A1009</formula1>
    </dataValidation>
    <dataValidation type="list" allowBlank="1" showErrorMessage="1" sqref="F2:F27 H2:H27 J2:J27">
      <formula1>Rewards!$A$2:$A1009</formula1>
    </dataValidation>
  </dataValidations>
  <hyperlinks>
    <hyperlink r:id="rId1" ref="E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</row>
    <row r="4">
      <c r="A4" s="1" t="s">
        <v>7</v>
      </c>
      <c r="B4" s="1" t="s">
        <v>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32</v>
      </c>
      <c r="B1" s="1" t="s">
        <v>33</v>
      </c>
    </row>
    <row r="2">
      <c r="A2" s="1" t="s">
        <v>34</v>
      </c>
      <c r="B2" s="1" t="s">
        <v>35</v>
      </c>
    </row>
    <row r="3">
      <c r="A3" s="1" t="s">
        <v>36</v>
      </c>
      <c r="B3" s="1" t="s">
        <v>37</v>
      </c>
    </row>
    <row r="4">
      <c r="A4" s="1" t="s">
        <v>38</v>
      </c>
      <c r="B4" s="1" t="s">
        <v>39</v>
      </c>
    </row>
    <row r="5">
      <c r="A5" s="1" t="s">
        <v>40</v>
      </c>
      <c r="B5" s="1" t="s">
        <v>41</v>
      </c>
    </row>
    <row r="6">
      <c r="A6" s="1" t="s">
        <v>43</v>
      </c>
      <c r="B6" s="1" t="s">
        <v>44</v>
      </c>
    </row>
    <row r="7">
      <c r="A7" s="1" t="s">
        <v>45</v>
      </c>
      <c r="B7" s="1" t="s">
        <v>46</v>
      </c>
    </row>
    <row r="8">
      <c r="A8" s="1" t="s">
        <v>47</v>
      </c>
      <c r="B8" s="1" t="s">
        <v>48</v>
      </c>
    </row>
    <row r="9">
      <c r="A9" s="1" t="s">
        <v>49</v>
      </c>
      <c r="B9" s="1" t="s">
        <v>50</v>
      </c>
    </row>
    <row r="10">
      <c r="A10" s="1" t="s">
        <v>51</v>
      </c>
      <c r="B10" s="1" t="s">
        <v>52</v>
      </c>
    </row>
    <row r="11">
      <c r="A11" s="1" t="s">
        <v>53</v>
      </c>
      <c r="B11" s="1" t="s">
        <v>54</v>
      </c>
    </row>
    <row r="12">
      <c r="A12" s="1" t="s">
        <v>55</v>
      </c>
      <c r="B12" s="1" t="s">
        <v>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75"/>
    <col customWidth="1" min="4" max="5" width="12.88"/>
    <col customWidth="1" min="6" max="6" width="7.63"/>
    <col customWidth="1" min="7" max="7" width="16.13"/>
    <col customWidth="1" min="8" max="8" width="23.38"/>
  </cols>
  <sheetData>
    <row r="1">
      <c r="A1" s="7" t="s">
        <v>1</v>
      </c>
      <c r="B1" s="7" t="s">
        <v>19</v>
      </c>
      <c r="C1" s="2" t="s">
        <v>9</v>
      </c>
      <c r="D1" s="2" t="s">
        <v>10</v>
      </c>
      <c r="E1" s="17" t="s">
        <v>12</v>
      </c>
      <c r="F1" s="34" t="s">
        <v>17</v>
      </c>
      <c r="G1" s="1" t="s">
        <v>59</v>
      </c>
      <c r="H1" s="1" t="s">
        <v>60</v>
      </c>
    </row>
    <row r="2">
      <c r="A2" s="35" t="s">
        <v>61</v>
      </c>
      <c r="B2" s="35" t="str">
        <f>CONCATENATE(C2,"-",D2)</f>
        <v>14001-15000</v>
      </c>
      <c r="C2" s="35">
        <v>14001.0</v>
      </c>
      <c r="D2" s="35">
        <v>15000.0</v>
      </c>
      <c r="E2" s="37">
        <v>14050.0</v>
      </c>
      <c r="F2" s="31"/>
      <c r="G2" s="8">
        <f>E2/'dynamic numbers'!$H$1</f>
        <v>702.5</v>
      </c>
      <c r="H2" s="8">
        <f>(E2-14000)/'dynamic numbers'!$H$1</f>
        <v>2.5</v>
      </c>
    </row>
    <row r="3">
      <c r="A3" s="30"/>
      <c r="B3" s="30"/>
      <c r="C3" s="30"/>
      <c r="D3" s="30"/>
      <c r="E3" s="37">
        <v>14250.0</v>
      </c>
      <c r="F3" s="31"/>
      <c r="G3" s="8">
        <f>E3/'dynamic numbers'!$H$1</f>
        <v>712.5</v>
      </c>
      <c r="H3" s="8">
        <f>(E3-14000)/'dynamic numbers'!$H$1</f>
        <v>12.5</v>
      </c>
    </row>
    <row r="4">
      <c r="A4" s="30"/>
      <c r="B4" s="30"/>
      <c r="C4" s="30"/>
      <c r="D4" s="30"/>
      <c r="E4" s="37">
        <v>14450.0</v>
      </c>
      <c r="F4" s="31"/>
      <c r="G4" s="8">
        <f>E4/'dynamic numbers'!$H$1</f>
        <v>722.5</v>
      </c>
      <c r="H4" s="8">
        <f>(E4-14000)/'dynamic numbers'!$H$1</f>
        <v>22.5</v>
      </c>
    </row>
    <row r="5">
      <c r="A5" s="30"/>
      <c r="B5" s="30"/>
      <c r="C5" s="30"/>
      <c r="D5" s="30"/>
      <c r="E5" s="37">
        <v>14650.0</v>
      </c>
      <c r="F5" s="31"/>
      <c r="G5" s="8">
        <f>E5/'dynamic numbers'!$H$1</f>
        <v>732.5</v>
      </c>
      <c r="H5" s="8">
        <f>(E5-14000)/'dynamic numbers'!$H$1</f>
        <v>32.5</v>
      </c>
    </row>
    <row r="6">
      <c r="A6" s="33"/>
      <c r="B6" s="33"/>
      <c r="C6" s="33"/>
      <c r="D6" s="33"/>
      <c r="E6" s="37">
        <v>14900.0</v>
      </c>
      <c r="F6" s="31"/>
      <c r="G6" s="8">
        <f>E6/'dynamic numbers'!$H$1</f>
        <v>745</v>
      </c>
      <c r="H6" s="8">
        <f>(E6-14000)/'dynamic numbers'!$H$1</f>
        <v>45</v>
      </c>
    </row>
    <row r="7">
      <c r="A7" s="35" t="s">
        <v>64</v>
      </c>
      <c r="B7" s="35" t="str">
        <f>CONCATENATE(C7,"-",D7)</f>
        <v>15001-16000</v>
      </c>
      <c r="C7" s="35">
        <f>D2+1</f>
        <v>15001</v>
      </c>
      <c r="D7" s="35">
        <v>16000.0</v>
      </c>
      <c r="E7" s="37">
        <v>15050.0</v>
      </c>
      <c r="F7" s="31"/>
      <c r="G7" s="8">
        <f>E7/'dynamic numbers'!$H$1</f>
        <v>752.5</v>
      </c>
      <c r="H7" s="8">
        <f>(E7-14000)/'dynamic numbers'!$H$1</f>
        <v>52.5</v>
      </c>
    </row>
    <row r="8">
      <c r="A8" s="30"/>
      <c r="B8" s="30"/>
      <c r="C8" s="30"/>
      <c r="D8" s="30"/>
      <c r="E8" s="37">
        <v>15250.0</v>
      </c>
      <c r="F8" s="31"/>
      <c r="G8" s="8">
        <f>E8/'dynamic numbers'!$H$1</f>
        <v>762.5</v>
      </c>
      <c r="H8" s="8">
        <f>(E8-14000)/'dynamic numbers'!$H$1</f>
        <v>62.5</v>
      </c>
    </row>
    <row r="9">
      <c r="A9" s="30"/>
      <c r="B9" s="30"/>
      <c r="C9" s="30"/>
      <c r="D9" s="30"/>
      <c r="E9" s="37">
        <v>15450.0</v>
      </c>
      <c r="F9" s="31"/>
      <c r="G9" s="8">
        <f>E9/'dynamic numbers'!$H$1</f>
        <v>772.5</v>
      </c>
      <c r="H9" s="8">
        <f>(E9-14000)/'dynamic numbers'!$H$1</f>
        <v>72.5</v>
      </c>
    </row>
    <row r="10">
      <c r="A10" s="30"/>
      <c r="B10" s="30"/>
      <c r="C10" s="30"/>
      <c r="D10" s="30"/>
      <c r="E10" s="37">
        <v>15650.0</v>
      </c>
      <c r="F10" s="31"/>
      <c r="G10" s="8">
        <f>E10/'dynamic numbers'!$H$1</f>
        <v>782.5</v>
      </c>
      <c r="H10" s="8">
        <f>(E10-14000)/'dynamic numbers'!$H$1</f>
        <v>82.5</v>
      </c>
    </row>
    <row r="11">
      <c r="A11" s="33"/>
      <c r="B11" s="33"/>
      <c r="C11" s="33"/>
      <c r="D11" s="33"/>
      <c r="E11" s="37">
        <v>15900.0</v>
      </c>
      <c r="F11" s="31"/>
      <c r="G11" s="8">
        <f>E11/'dynamic numbers'!$H$1</f>
        <v>795</v>
      </c>
      <c r="H11" s="8">
        <f>(E11-14000)/'dynamic numbers'!$H$1</f>
        <v>95</v>
      </c>
    </row>
    <row r="12">
      <c r="A12" s="35" t="s">
        <v>67</v>
      </c>
      <c r="B12" s="35" t="str">
        <f>CONCATENATE(C12,"-",D12)</f>
        <v>16001-17500</v>
      </c>
      <c r="C12" s="23">
        <f>D7+1</f>
        <v>16001</v>
      </c>
      <c r="D12" s="35">
        <v>17500.0</v>
      </c>
      <c r="E12" s="37">
        <v>16100.0</v>
      </c>
      <c r="F12" s="31"/>
      <c r="G12" s="8">
        <f>E12/'dynamic numbers'!$H$1</f>
        <v>805</v>
      </c>
      <c r="H12" s="8">
        <f>(E12-14000)/'dynamic numbers'!$H$1</f>
        <v>105</v>
      </c>
    </row>
    <row r="13">
      <c r="A13" s="30"/>
      <c r="B13" s="30"/>
      <c r="C13" s="30"/>
      <c r="D13" s="30"/>
      <c r="E13" s="37">
        <v>16300.0</v>
      </c>
      <c r="F13" s="31"/>
      <c r="G13" s="8">
        <f>E13/'dynamic numbers'!$H$1</f>
        <v>815</v>
      </c>
      <c r="H13" s="8">
        <f>(E13-14000)/'dynamic numbers'!$H$1</f>
        <v>115</v>
      </c>
    </row>
    <row r="14">
      <c r="A14" s="30"/>
      <c r="B14" s="30"/>
      <c r="C14" s="30"/>
      <c r="D14" s="30"/>
      <c r="E14" s="37">
        <v>16550.0</v>
      </c>
      <c r="F14" s="31"/>
      <c r="G14" s="8">
        <f>E14/'dynamic numbers'!$H$1</f>
        <v>827.5</v>
      </c>
      <c r="H14" s="8">
        <f>(E14-14000)/'dynamic numbers'!$H$1</f>
        <v>127.5</v>
      </c>
    </row>
    <row r="15">
      <c r="A15" s="30"/>
      <c r="B15" s="30"/>
      <c r="C15" s="30"/>
      <c r="D15" s="30"/>
      <c r="E15" s="37">
        <v>16750.0</v>
      </c>
      <c r="F15" s="31"/>
      <c r="G15" s="8">
        <f>E15/'dynamic numbers'!$H$1</f>
        <v>837.5</v>
      </c>
      <c r="H15" s="8">
        <f>(E15-14000)/'dynamic numbers'!$H$1</f>
        <v>137.5</v>
      </c>
    </row>
    <row r="16">
      <c r="A16" s="30"/>
      <c r="B16" s="30"/>
      <c r="C16" s="30"/>
      <c r="D16" s="30"/>
      <c r="E16" s="37">
        <v>16950.0</v>
      </c>
      <c r="F16" s="31"/>
      <c r="G16" s="8">
        <f>E16/'dynamic numbers'!$H$1</f>
        <v>847.5</v>
      </c>
      <c r="H16" s="8">
        <f>(E16-14000)/'dynamic numbers'!$H$1</f>
        <v>147.5</v>
      </c>
    </row>
    <row r="17">
      <c r="A17" s="30"/>
      <c r="B17" s="30"/>
      <c r="C17" s="30"/>
      <c r="D17" s="30"/>
      <c r="E17" s="37">
        <v>17200.0</v>
      </c>
      <c r="F17" s="31"/>
      <c r="G17" s="8">
        <f>E17/'dynamic numbers'!$H$1</f>
        <v>860</v>
      </c>
      <c r="H17" s="8">
        <f>(E17-14000)/'dynamic numbers'!$H$1</f>
        <v>160</v>
      </c>
    </row>
    <row r="18">
      <c r="A18" s="33"/>
      <c r="B18" s="33"/>
      <c r="C18" s="33"/>
      <c r="D18" s="33"/>
      <c r="E18" s="37">
        <v>17400.0</v>
      </c>
      <c r="F18" s="31"/>
      <c r="G18" s="8">
        <f>E18/'dynamic numbers'!$H$1</f>
        <v>870</v>
      </c>
      <c r="H18" s="8">
        <f>(E18-14000)/'dynamic numbers'!$H$1</f>
        <v>170</v>
      </c>
    </row>
    <row r="19">
      <c r="A19" s="35" t="s">
        <v>70</v>
      </c>
      <c r="B19" s="35" t="str">
        <f>CONCATENATE(C19,"-",D19)</f>
        <v>17501-999999</v>
      </c>
      <c r="C19" s="35">
        <v>17501.0</v>
      </c>
      <c r="D19" s="35">
        <v>999999.0</v>
      </c>
      <c r="E19" s="37">
        <v>17600.0</v>
      </c>
      <c r="F19" s="31"/>
      <c r="G19" s="8">
        <f>E19/'dynamic numbers'!$H$1</f>
        <v>880</v>
      </c>
      <c r="H19" s="8">
        <f>(E19-14000)/'dynamic numbers'!$H$1</f>
        <v>180</v>
      </c>
    </row>
    <row r="20">
      <c r="A20" s="30"/>
      <c r="B20" s="30"/>
      <c r="C20" s="30"/>
      <c r="D20" s="30"/>
      <c r="E20" s="37">
        <v>17800.0</v>
      </c>
      <c r="F20" s="31"/>
      <c r="G20" s="8">
        <f>E20/'dynamic numbers'!$H$1</f>
        <v>890</v>
      </c>
      <c r="H20" s="8">
        <f>(E20-14000)/'dynamic numbers'!$H$1</f>
        <v>190</v>
      </c>
    </row>
    <row r="21">
      <c r="A21" s="30"/>
      <c r="B21" s="30"/>
      <c r="C21" s="30"/>
      <c r="D21" s="30"/>
      <c r="E21" s="37">
        <v>18050.0</v>
      </c>
      <c r="F21" s="31"/>
      <c r="G21" s="8">
        <f>E21/'dynamic numbers'!$H$1</f>
        <v>902.5</v>
      </c>
      <c r="H21" s="8">
        <f>(E21-14000)/'dynamic numbers'!$H$1</f>
        <v>202.5</v>
      </c>
    </row>
    <row r="22">
      <c r="A22" s="30"/>
      <c r="B22" s="30"/>
      <c r="C22" s="30"/>
      <c r="D22" s="30"/>
      <c r="E22" s="37">
        <v>18250.0</v>
      </c>
      <c r="F22" s="31"/>
      <c r="G22" s="8">
        <f>E22/'dynamic numbers'!$H$1</f>
        <v>912.5</v>
      </c>
      <c r="H22" s="8">
        <f>(E22-14000)/'dynamic numbers'!$H$1</f>
        <v>212.5</v>
      </c>
    </row>
    <row r="23">
      <c r="A23" s="30"/>
      <c r="B23" s="30"/>
      <c r="C23" s="30"/>
      <c r="D23" s="30"/>
      <c r="E23" s="37">
        <v>18450.0</v>
      </c>
      <c r="F23" s="31"/>
      <c r="G23" s="8">
        <f>E23/'dynamic numbers'!$H$1</f>
        <v>922.5</v>
      </c>
      <c r="H23" s="8">
        <f>(E23-14000)/'dynamic numbers'!$H$1</f>
        <v>222.5</v>
      </c>
    </row>
    <row r="24">
      <c r="A24" s="30"/>
      <c r="B24" s="30"/>
      <c r="C24" s="30"/>
      <c r="D24" s="30"/>
      <c r="E24" s="37">
        <v>18700.0</v>
      </c>
      <c r="F24" s="31"/>
      <c r="G24" s="8">
        <f>E24/'dynamic numbers'!$H$1</f>
        <v>935</v>
      </c>
      <c r="H24" s="8">
        <f>(E24-14000)/'dynamic numbers'!$H$1</f>
        <v>235</v>
      </c>
    </row>
    <row r="25">
      <c r="A25" s="33"/>
      <c r="B25" s="33"/>
      <c r="C25" s="33"/>
      <c r="D25" s="33"/>
      <c r="E25" s="37">
        <v>18900.0</v>
      </c>
      <c r="F25" s="31"/>
      <c r="G25" s="8">
        <f>E25/'dynamic numbers'!$H$1</f>
        <v>945</v>
      </c>
      <c r="H25" s="8">
        <f>(E25-14000)/'dynamic numbers'!$H$1</f>
        <v>245</v>
      </c>
    </row>
  </sheetData>
  <mergeCells count="16">
    <mergeCell ref="A2:A6"/>
    <mergeCell ref="B2:B6"/>
    <mergeCell ref="C2:C6"/>
    <mergeCell ref="D2:D6"/>
    <mergeCell ref="B7:B11"/>
    <mergeCell ref="C7:C11"/>
    <mergeCell ref="D7:D11"/>
    <mergeCell ref="C19:C25"/>
    <mergeCell ref="D19:D25"/>
    <mergeCell ref="A7:A11"/>
    <mergeCell ref="A12:A18"/>
    <mergeCell ref="B12:B18"/>
    <mergeCell ref="C12:C18"/>
    <mergeCell ref="D12:D18"/>
    <mergeCell ref="A19:A25"/>
    <mergeCell ref="B19:B25"/>
  </mergeCells>
  <hyperlinks>
    <hyperlink r:id="rId1" ref="E1"/>
  </hyperlinks>
  <drawing r:id="rId2"/>
</worksheet>
</file>